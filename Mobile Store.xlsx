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60" windowWidth="14295" windowHeight="4635" firstSheet="3" activeTab="7"/>
  </bookViews>
  <sheets>
    <sheet name="sales by brand" sheetId="2" r:id="rId1"/>
    <sheet name="Monthyly sales trend" sheetId="4" r:id="rId2"/>
    <sheet name="Avg Rating By Brand" sheetId="5" r:id="rId3"/>
    <sheet name="Sales by country and Brand" sheetId="6" r:id="rId4"/>
    <sheet name="total sales" sheetId="10" r:id="rId5"/>
    <sheet name="Top 5 Brand" sheetId="18" r:id="rId6"/>
    <sheet name="synthetic_mobile_sales_2025" sheetId="1" r:id="rId7"/>
    <sheet name="Dashboard" sheetId="3" r:id="rId8"/>
  </sheets>
  <definedNames>
    <definedName name="_xlnm._FilterDatabase" localSheetId="6" hidden="1">synthetic_mobile_sales_2025!$A$1:$N$501</definedName>
  </definedNames>
  <calcPr calcId="124519"/>
  <pivotCaches>
    <pivotCache cacheId="0" r:id="rId9"/>
  </pivotCaches>
</workbook>
</file>

<file path=xl/calcChain.xml><?xml version="1.0" encoding="utf-8"?>
<calcChain xmlns="http://schemas.openxmlformats.org/spreadsheetml/2006/main">
  <c r="O2" i="1"/>
  <c r="P2"/>
  <c r="O3"/>
  <c r="P3" s="1"/>
  <c r="O4"/>
  <c r="P4" s="1"/>
  <c r="O5"/>
  <c r="P5" s="1"/>
  <c r="O6"/>
  <c r="P6" s="1"/>
  <c r="O7"/>
  <c r="P7" s="1"/>
  <c r="O8"/>
  <c r="P8" s="1"/>
  <c r="O9"/>
  <c r="P9" s="1"/>
  <c r="O10"/>
  <c r="P10" s="1"/>
  <c r="O11"/>
  <c r="P11" s="1"/>
  <c r="O12"/>
  <c r="P12" s="1"/>
  <c r="O13"/>
  <c r="P13" s="1"/>
  <c r="O14"/>
  <c r="P14" s="1"/>
  <c r="O15"/>
  <c r="P15" s="1"/>
  <c r="O16"/>
  <c r="P16" s="1"/>
  <c r="O17"/>
  <c r="P17" s="1"/>
  <c r="O18"/>
  <c r="P18" s="1"/>
  <c r="O19"/>
  <c r="P19" s="1"/>
  <c r="O20"/>
  <c r="P20" s="1"/>
  <c r="O21"/>
  <c r="P21" s="1"/>
  <c r="O22"/>
  <c r="P22" s="1"/>
  <c r="O23"/>
  <c r="P23" s="1"/>
  <c r="O24"/>
  <c r="P24" s="1"/>
  <c r="O25"/>
  <c r="P25" s="1"/>
  <c r="O26"/>
  <c r="P26" s="1"/>
  <c r="O27"/>
  <c r="P27" s="1"/>
  <c r="O28"/>
  <c r="P28" s="1"/>
  <c r="O29"/>
  <c r="P29" s="1"/>
  <c r="O30"/>
  <c r="P30" s="1"/>
  <c r="O31"/>
  <c r="P31" s="1"/>
  <c r="O32"/>
  <c r="P32" s="1"/>
  <c r="O33"/>
  <c r="P33" s="1"/>
  <c r="O34"/>
  <c r="P34" s="1"/>
  <c r="O35"/>
  <c r="P35" s="1"/>
  <c r="O36"/>
  <c r="P36" s="1"/>
  <c r="O37"/>
  <c r="P37" s="1"/>
  <c r="O38"/>
  <c r="P38" s="1"/>
  <c r="O39"/>
  <c r="P39" s="1"/>
  <c r="O40"/>
  <c r="P40" s="1"/>
  <c r="O41"/>
  <c r="P41" s="1"/>
  <c r="O42"/>
  <c r="P42" s="1"/>
  <c r="O43"/>
  <c r="P43" s="1"/>
  <c r="O44"/>
  <c r="P44" s="1"/>
  <c r="O45"/>
  <c r="P45" s="1"/>
  <c r="O46"/>
  <c r="P46" s="1"/>
  <c r="O47"/>
  <c r="P47" s="1"/>
  <c r="O48"/>
  <c r="P48" s="1"/>
  <c r="O49"/>
  <c r="P49" s="1"/>
  <c r="O50"/>
  <c r="P50" s="1"/>
  <c r="O51"/>
  <c r="P51" s="1"/>
  <c r="O52"/>
  <c r="P52" s="1"/>
  <c r="O53"/>
  <c r="P53" s="1"/>
  <c r="O54"/>
  <c r="P54" s="1"/>
  <c r="O55"/>
  <c r="P55" s="1"/>
  <c r="O56"/>
  <c r="P56" s="1"/>
  <c r="O57"/>
  <c r="P57" s="1"/>
  <c r="O58"/>
  <c r="P58" s="1"/>
  <c r="O59"/>
  <c r="P59" s="1"/>
  <c r="O60"/>
  <c r="P60" s="1"/>
  <c r="O61"/>
  <c r="P61" s="1"/>
  <c r="O62"/>
  <c r="P62" s="1"/>
  <c r="O63"/>
  <c r="P63" s="1"/>
  <c r="O64"/>
  <c r="P64" s="1"/>
  <c r="O65"/>
  <c r="P65" s="1"/>
  <c r="O66"/>
  <c r="P66" s="1"/>
  <c r="O67"/>
  <c r="P67" s="1"/>
  <c r="O68"/>
  <c r="P68" s="1"/>
  <c r="O69"/>
  <c r="P69" s="1"/>
  <c r="O70"/>
  <c r="P70" s="1"/>
  <c r="O71"/>
  <c r="P71" s="1"/>
  <c r="O72"/>
  <c r="P72" s="1"/>
  <c r="O73"/>
  <c r="P73" s="1"/>
  <c r="O74"/>
  <c r="P74" s="1"/>
  <c r="O75"/>
  <c r="P75" s="1"/>
  <c r="O76"/>
  <c r="P76" s="1"/>
  <c r="O77"/>
  <c r="P77" s="1"/>
  <c r="O78"/>
  <c r="P78" s="1"/>
  <c r="O79"/>
  <c r="P79" s="1"/>
  <c r="O80"/>
  <c r="P80" s="1"/>
  <c r="O81"/>
  <c r="P81" s="1"/>
  <c r="O82"/>
  <c r="P82" s="1"/>
  <c r="O83"/>
  <c r="P83" s="1"/>
  <c r="O84"/>
  <c r="P84" s="1"/>
  <c r="O85"/>
  <c r="P85" s="1"/>
  <c r="O86"/>
  <c r="P86" s="1"/>
  <c r="O87"/>
  <c r="P87" s="1"/>
  <c r="O88"/>
  <c r="P88" s="1"/>
  <c r="O89"/>
  <c r="P89" s="1"/>
  <c r="O90"/>
  <c r="P90" s="1"/>
  <c r="O91"/>
  <c r="P91" s="1"/>
  <c r="O92"/>
  <c r="P92" s="1"/>
  <c r="O93"/>
  <c r="P93" s="1"/>
  <c r="O94"/>
  <c r="P94" s="1"/>
  <c r="O95"/>
  <c r="P95" s="1"/>
  <c r="O96"/>
  <c r="P96" s="1"/>
  <c r="O97"/>
  <c r="P97" s="1"/>
  <c r="O98"/>
  <c r="P98" s="1"/>
  <c r="O99"/>
  <c r="P99" s="1"/>
  <c r="O100"/>
  <c r="P100" s="1"/>
  <c r="O101"/>
  <c r="P101" s="1"/>
  <c r="O102"/>
  <c r="P102" s="1"/>
  <c r="O103"/>
  <c r="P103" s="1"/>
  <c r="O104"/>
  <c r="P104" s="1"/>
  <c r="O105"/>
  <c r="P105" s="1"/>
  <c r="O106"/>
  <c r="P106" s="1"/>
  <c r="O107"/>
  <c r="P107" s="1"/>
  <c r="O108"/>
  <c r="P108" s="1"/>
  <c r="O109"/>
  <c r="P109" s="1"/>
  <c r="O110"/>
  <c r="P110" s="1"/>
  <c r="O111"/>
  <c r="P111" s="1"/>
  <c r="O112"/>
  <c r="P112" s="1"/>
  <c r="O113"/>
  <c r="P113" s="1"/>
  <c r="O114"/>
  <c r="P114" s="1"/>
  <c r="O115"/>
  <c r="P115" s="1"/>
  <c r="O116"/>
  <c r="P116" s="1"/>
  <c r="O117"/>
  <c r="P117" s="1"/>
  <c r="O118"/>
  <c r="P118" s="1"/>
  <c r="O119"/>
  <c r="P119" s="1"/>
  <c r="O120"/>
  <c r="P120" s="1"/>
  <c r="O121"/>
  <c r="P121" s="1"/>
  <c r="O122"/>
  <c r="P122" s="1"/>
  <c r="O123"/>
  <c r="P123" s="1"/>
  <c r="O124"/>
  <c r="P124" s="1"/>
  <c r="O125"/>
  <c r="P125" s="1"/>
  <c r="O126"/>
  <c r="P126" s="1"/>
  <c r="O127"/>
  <c r="P127" s="1"/>
  <c r="O128"/>
  <c r="P128" s="1"/>
  <c r="O129"/>
  <c r="P129" s="1"/>
  <c r="O130"/>
  <c r="P130" s="1"/>
  <c r="O131"/>
  <c r="P131" s="1"/>
  <c r="O132"/>
  <c r="P132" s="1"/>
  <c r="O133"/>
  <c r="P133" s="1"/>
  <c r="O134"/>
  <c r="P134" s="1"/>
  <c r="O135"/>
  <c r="P135" s="1"/>
  <c r="O136"/>
  <c r="P136" s="1"/>
  <c r="O137"/>
  <c r="P137" s="1"/>
  <c r="O138"/>
  <c r="P138" s="1"/>
  <c r="O139"/>
  <c r="P139" s="1"/>
  <c r="O140"/>
  <c r="P140" s="1"/>
  <c r="O141"/>
  <c r="P141" s="1"/>
  <c r="O142"/>
  <c r="P142" s="1"/>
  <c r="O143"/>
  <c r="P143" s="1"/>
  <c r="O144"/>
  <c r="P144" s="1"/>
  <c r="O145"/>
  <c r="P145" s="1"/>
  <c r="O146"/>
  <c r="P146" s="1"/>
  <c r="O147"/>
  <c r="P147" s="1"/>
  <c r="O148"/>
  <c r="P148" s="1"/>
  <c r="O149"/>
  <c r="P149" s="1"/>
  <c r="O150"/>
  <c r="P150" s="1"/>
  <c r="O151"/>
  <c r="P151" s="1"/>
  <c r="O152"/>
  <c r="P152" s="1"/>
  <c r="O153"/>
  <c r="P153" s="1"/>
  <c r="O154"/>
  <c r="P154" s="1"/>
  <c r="O155"/>
  <c r="P155" s="1"/>
  <c r="O156"/>
  <c r="P156" s="1"/>
  <c r="O157"/>
  <c r="P157" s="1"/>
  <c r="O158"/>
  <c r="P158" s="1"/>
  <c r="O159"/>
  <c r="P159" s="1"/>
  <c r="O160"/>
  <c r="P160" s="1"/>
  <c r="O161"/>
  <c r="P161" s="1"/>
  <c r="O162"/>
  <c r="P162" s="1"/>
  <c r="O163"/>
  <c r="P163" s="1"/>
  <c r="O164"/>
  <c r="P164" s="1"/>
  <c r="O165"/>
  <c r="P165" s="1"/>
  <c r="O166"/>
  <c r="P166" s="1"/>
  <c r="O167"/>
  <c r="P167" s="1"/>
  <c r="O168"/>
  <c r="P168" s="1"/>
  <c r="O169"/>
  <c r="P169" s="1"/>
  <c r="O170"/>
  <c r="P170" s="1"/>
  <c r="O171"/>
  <c r="P171" s="1"/>
  <c r="O172"/>
  <c r="P172" s="1"/>
  <c r="O173"/>
  <c r="P173" s="1"/>
  <c r="O174"/>
  <c r="P174" s="1"/>
  <c r="O175"/>
  <c r="P175" s="1"/>
  <c r="O176"/>
  <c r="P176" s="1"/>
  <c r="O177"/>
  <c r="P177" s="1"/>
  <c r="O178"/>
  <c r="P178" s="1"/>
  <c r="O179"/>
  <c r="P179" s="1"/>
  <c r="O180"/>
  <c r="P180" s="1"/>
  <c r="O181"/>
  <c r="P181" s="1"/>
  <c r="O182"/>
  <c r="P182" s="1"/>
  <c r="O183"/>
  <c r="P183" s="1"/>
  <c r="O184"/>
  <c r="P184" s="1"/>
  <c r="O185"/>
  <c r="P185" s="1"/>
  <c r="O186"/>
  <c r="P186" s="1"/>
  <c r="O187"/>
  <c r="P187" s="1"/>
  <c r="O188"/>
  <c r="P188" s="1"/>
  <c r="O189"/>
  <c r="P189" s="1"/>
  <c r="O190"/>
  <c r="P190" s="1"/>
  <c r="O191"/>
  <c r="P191" s="1"/>
  <c r="O192"/>
  <c r="P192" s="1"/>
  <c r="O193"/>
  <c r="P193" s="1"/>
  <c r="O194"/>
  <c r="P194" s="1"/>
  <c r="O195"/>
  <c r="P195" s="1"/>
  <c r="O196"/>
  <c r="P196" s="1"/>
  <c r="O197"/>
  <c r="P197" s="1"/>
  <c r="O198"/>
  <c r="P198" s="1"/>
  <c r="O199"/>
  <c r="P199" s="1"/>
  <c r="O200"/>
  <c r="P200" s="1"/>
  <c r="O201"/>
  <c r="P201" s="1"/>
  <c r="O202"/>
  <c r="P202" s="1"/>
  <c r="O203"/>
  <c r="P203" s="1"/>
  <c r="O204"/>
  <c r="P204" s="1"/>
  <c r="O205"/>
  <c r="P205" s="1"/>
  <c r="O206"/>
  <c r="P206" s="1"/>
  <c r="O207"/>
  <c r="P207" s="1"/>
  <c r="O208"/>
  <c r="P208" s="1"/>
  <c r="O209"/>
  <c r="P209" s="1"/>
  <c r="O210"/>
  <c r="P210" s="1"/>
  <c r="O211"/>
  <c r="P211" s="1"/>
  <c r="O212"/>
  <c r="P212" s="1"/>
  <c r="O213"/>
  <c r="P213" s="1"/>
  <c r="O214"/>
  <c r="P214" s="1"/>
  <c r="O215"/>
  <c r="P215" s="1"/>
  <c r="O216"/>
  <c r="P216" s="1"/>
  <c r="O217"/>
  <c r="P217" s="1"/>
  <c r="O218"/>
  <c r="P218" s="1"/>
  <c r="O219"/>
  <c r="P219" s="1"/>
  <c r="O220"/>
  <c r="P220" s="1"/>
  <c r="O221"/>
  <c r="P221" s="1"/>
  <c r="O222"/>
  <c r="P222" s="1"/>
  <c r="O223"/>
  <c r="P223" s="1"/>
  <c r="O224"/>
  <c r="P224" s="1"/>
  <c r="O225"/>
  <c r="P225" s="1"/>
  <c r="O226"/>
  <c r="P226" s="1"/>
  <c r="O227"/>
  <c r="P227" s="1"/>
  <c r="O228"/>
  <c r="P228" s="1"/>
  <c r="O229"/>
  <c r="P229" s="1"/>
  <c r="O230"/>
  <c r="P230" s="1"/>
  <c r="O231"/>
  <c r="P231" s="1"/>
  <c r="O232"/>
  <c r="P232" s="1"/>
  <c r="O233"/>
  <c r="P233" s="1"/>
  <c r="O234"/>
  <c r="P234" s="1"/>
  <c r="O235"/>
  <c r="P235" s="1"/>
  <c r="O236"/>
  <c r="P236" s="1"/>
  <c r="O237"/>
  <c r="P237" s="1"/>
  <c r="O238"/>
  <c r="P238" s="1"/>
  <c r="O239"/>
  <c r="P239" s="1"/>
  <c r="O240"/>
  <c r="P240" s="1"/>
  <c r="O241"/>
  <c r="P241" s="1"/>
  <c r="O242"/>
  <c r="P242" s="1"/>
  <c r="O243"/>
  <c r="P243" s="1"/>
  <c r="O244"/>
  <c r="P244" s="1"/>
  <c r="O245"/>
  <c r="P245" s="1"/>
  <c r="O246"/>
  <c r="P246" s="1"/>
  <c r="O247"/>
  <c r="P247" s="1"/>
  <c r="O248"/>
  <c r="P248" s="1"/>
  <c r="O249"/>
  <c r="P249" s="1"/>
  <c r="O250"/>
  <c r="P250" s="1"/>
  <c r="O251"/>
  <c r="P251" s="1"/>
  <c r="O252"/>
  <c r="P252" s="1"/>
  <c r="O253"/>
  <c r="P253" s="1"/>
  <c r="O254"/>
  <c r="P254" s="1"/>
  <c r="O255"/>
  <c r="P255" s="1"/>
  <c r="O256"/>
  <c r="P256" s="1"/>
  <c r="O257"/>
  <c r="P257" s="1"/>
  <c r="O258"/>
  <c r="P258" s="1"/>
  <c r="O259"/>
  <c r="P259" s="1"/>
  <c r="O260"/>
  <c r="P260" s="1"/>
  <c r="O261"/>
  <c r="P261" s="1"/>
  <c r="O262"/>
  <c r="P262" s="1"/>
  <c r="O263"/>
  <c r="P263" s="1"/>
  <c r="O264"/>
  <c r="P264" s="1"/>
  <c r="O265"/>
  <c r="P265" s="1"/>
  <c r="O266"/>
  <c r="P266" s="1"/>
  <c r="O267"/>
  <c r="P267" s="1"/>
  <c r="O268"/>
  <c r="P268" s="1"/>
  <c r="O269"/>
  <c r="P269" s="1"/>
  <c r="O270"/>
  <c r="P270" s="1"/>
  <c r="O271"/>
  <c r="P271" s="1"/>
  <c r="O272"/>
  <c r="P272" s="1"/>
  <c r="O273"/>
  <c r="P273" s="1"/>
  <c r="O274"/>
  <c r="P274" s="1"/>
  <c r="O275"/>
  <c r="P275" s="1"/>
  <c r="O276"/>
  <c r="P276" s="1"/>
  <c r="O277"/>
  <c r="P277" s="1"/>
  <c r="O278"/>
  <c r="P278" s="1"/>
  <c r="O279"/>
  <c r="P279" s="1"/>
  <c r="O280"/>
  <c r="P280" s="1"/>
  <c r="O281"/>
  <c r="P281" s="1"/>
  <c r="O282"/>
  <c r="P282" s="1"/>
  <c r="O283"/>
  <c r="P283" s="1"/>
  <c r="O284"/>
  <c r="P284" s="1"/>
  <c r="O285"/>
  <c r="P285" s="1"/>
  <c r="O286"/>
  <c r="P286" s="1"/>
  <c r="O287"/>
  <c r="P287" s="1"/>
  <c r="O288"/>
  <c r="P288" s="1"/>
  <c r="O289"/>
  <c r="P289" s="1"/>
  <c r="O290"/>
  <c r="P290" s="1"/>
  <c r="O291"/>
  <c r="P291" s="1"/>
  <c r="O292"/>
  <c r="P292" s="1"/>
  <c r="O293"/>
  <c r="P293" s="1"/>
  <c r="O294"/>
  <c r="P294" s="1"/>
  <c r="O295"/>
  <c r="P295" s="1"/>
  <c r="O296"/>
  <c r="P296" s="1"/>
  <c r="O297"/>
  <c r="P297" s="1"/>
  <c r="O298"/>
  <c r="P298" s="1"/>
  <c r="O299"/>
  <c r="P299" s="1"/>
  <c r="O300"/>
  <c r="P300" s="1"/>
  <c r="O301"/>
  <c r="P301" s="1"/>
  <c r="O302"/>
  <c r="P302" s="1"/>
  <c r="O303"/>
  <c r="P303" s="1"/>
  <c r="O304"/>
  <c r="P304" s="1"/>
  <c r="O305"/>
  <c r="P305" s="1"/>
  <c r="O306"/>
  <c r="P306" s="1"/>
  <c r="O307"/>
  <c r="P307" s="1"/>
  <c r="O308"/>
  <c r="P308" s="1"/>
  <c r="O309"/>
  <c r="P309" s="1"/>
  <c r="O310"/>
  <c r="P310" s="1"/>
  <c r="O311"/>
  <c r="P311" s="1"/>
  <c r="O312"/>
  <c r="P312" s="1"/>
  <c r="O313"/>
  <c r="P313" s="1"/>
  <c r="O314"/>
  <c r="P314" s="1"/>
  <c r="O315"/>
  <c r="P315" s="1"/>
  <c r="O316"/>
  <c r="P316" s="1"/>
  <c r="O317"/>
  <c r="P317" s="1"/>
  <c r="O318"/>
  <c r="P318" s="1"/>
  <c r="O319"/>
  <c r="P319" s="1"/>
  <c r="O320"/>
  <c r="P320" s="1"/>
  <c r="O321"/>
  <c r="P321" s="1"/>
  <c r="O322"/>
  <c r="P322" s="1"/>
  <c r="O323"/>
  <c r="P323" s="1"/>
  <c r="O324"/>
  <c r="P324" s="1"/>
  <c r="O325"/>
  <c r="P325" s="1"/>
  <c r="O326"/>
  <c r="P326" s="1"/>
  <c r="O327"/>
  <c r="P327" s="1"/>
  <c r="O328"/>
  <c r="P328" s="1"/>
  <c r="O329"/>
  <c r="P329" s="1"/>
  <c r="O330"/>
  <c r="P330" s="1"/>
  <c r="O331"/>
  <c r="P331" s="1"/>
  <c r="O332"/>
  <c r="P332" s="1"/>
  <c r="O333"/>
  <c r="P333" s="1"/>
  <c r="O334"/>
  <c r="P334" s="1"/>
  <c r="O335"/>
  <c r="P335" s="1"/>
  <c r="O336"/>
  <c r="P336" s="1"/>
  <c r="O337"/>
  <c r="P337" s="1"/>
  <c r="O338"/>
  <c r="P338" s="1"/>
  <c r="O339"/>
  <c r="P339" s="1"/>
  <c r="O340"/>
  <c r="P340" s="1"/>
  <c r="O341"/>
  <c r="P341" s="1"/>
  <c r="O342"/>
  <c r="P342" s="1"/>
  <c r="O343"/>
  <c r="P343" s="1"/>
  <c r="O344"/>
  <c r="P344" s="1"/>
  <c r="O345"/>
  <c r="P345" s="1"/>
  <c r="O346"/>
  <c r="P346" s="1"/>
  <c r="O347"/>
  <c r="P347" s="1"/>
  <c r="O348"/>
  <c r="P348" s="1"/>
  <c r="O349"/>
  <c r="P349" s="1"/>
  <c r="O350"/>
  <c r="P350" s="1"/>
  <c r="O351"/>
  <c r="P351" s="1"/>
  <c r="O352"/>
  <c r="P352" s="1"/>
  <c r="O353"/>
  <c r="P353" s="1"/>
  <c r="O354"/>
  <c r="P354" s="1"/>
  <c r="O355"/>
  <c r="P355" s="1"/>
  <c r="O356"/>
  <c r="P356" s="1"/>
  <c r="O357"/>
  <c r="P357" s="1"/>
  <c r="O358"/>
  <c r="P358" s="1"/>
  <c r="O359"/>
  <c r="P359" s="1"/>
  <c r="O360"/>
  <c r="P360" s="1"/>
  <c r="O361"/>
  <c r="P361" s="1"/>
  <c r="O362"/>
  <c r="P362" s="1"/>
  <c r="O363"/>
  <c r="P363" s="1"/>
  <c r="O364"/>
  <c r="P364" s="1"/>
  <c r="O365"/>
  <c r="P365" s="1"/>
  <c r="O366"/>
  <c r="P366" s="1"/>
  <c r="O367"/>
  <c r="P367" s="1"/>
  <c r="O368"/>
  <c r="P368" s="1"/>
  <c r="O369"/>
  <c r="P369" s="1"/>
  <c r="O370"/>
  <c r="P370" s="1"/>
  <c r="O371"/>
  <c r="P371" s="1"/>
  <c r="O372"/>
  <c r="P372" s="1"/>
  <c r="O373"/>
  <c r="P373" s="1"/>
  <c r="O374"/>
  <c r="P374" s="1"/>
  <c r="O375"/>
  <c r="P375" s="1"/>
  <c r="O376"/>
  <c r="P376" s="1"/>
  <c r="O377"/>
  <c r="P377" s="1"/>
  <c r="O378"/>
  <c r="P378" s="1"/>
  <c r="O379"/>
  <c r="P379" s="1"/>
  <c r="O380"/>
  <c r="P380" s="1"/>
  <c r="O381"/>
  <c r="P381" s="1"/>
  <c r="O382"/>
  <c r="P382" s="1"/>
  <c r="O383"/>
  <c r="P383" s="1"/>
  <c r="O384"/>
  <c r="P384" s="1"/>
  <c r="O385"/>
  <c r="P385" s="1"/>
  <c r="O386"/>
  <c r="P386" s="1"/>
  <c r="O387"/>
  <c r="P387" s="1"/>
  <c r="O388"/>
  <c r="P388" s="1"/>
  <c r="O389"/>
  <c r="P389" s="1"/>
  <c r="O390"/>
  <c r="P390" s="1"/>
  <c r="O391"/>
  <c r="P391" s="1"/>
  <c r="O392"/>
  <c r="P392" s="1"/>
  <c r="O393"/>
  <c r="P393" s="1"/>
  <c r="O394"/>
  <c r="P394" s="1"/>
  <c r="O395"/>
  <c r="P395" s="1"/>
  <c r="O396"/>
  <c r="P396" s="1"/>
  <c r="O397"/>
  <c r="P397" s="1"/>
  <c r="O398"/>
  <c r="P398" s="1"/>
  <c r="O399"/>
  <c r="P399" s="1"/>
  <c r="O400"/>
  <c r="P400" s="1"/>
  <c r="O401"/>
  <c r="P401" s="1"/>
  <c r="O402"/>
  <c r="P402" s="1"/>
  <c r="O403"/>
  <c r="P403" s="1"/>
  <c r="O404"/>
  <c r="P404" s="1"/>
  <c r="O405"/>
  <c r="P405" s="1"/>
  <c r="O406"/>
  <c r="P406" s="1"/>
  <c r="O407"/>
  <c r="P407" s="1"/>
  <c r="O408"/>
  <c r="P408" s="1"/>
  <c r="O409"/>
  <c r="P409" s="1"/>
  <c r="O410"/>
  <c r="P410" s="1"/>
  <c r="O411"/>
  <c r="P411" s="1"/>
  <c r="O412"/>
  <c r="P412" s="1"/>
  <c r="O413"/>
  <c r="P413" s="1"/>
  <c r="O414"/>
  <c r="P414" s="1"/>
  <c r="O415"/>
  <c r="P415" s="1"/>
  <c r="O416"/>
  <c r="P416" s="1"/>
  <c r="O417"/>
  <c r="P417" s="1"/>
  <c r="O418"/>
  <c r="P418" s="1"/>
  <c r="O419"/>
  <c r="P419" s="1"/>
  <c r="O420"/>
  <c r="P420" s="1"/>
  <c r="O421"/>
  <c r="P421" s="1"/>
  <c r="O422"/>
  <c r="P422" s="1"/>
  <c r="O423"/>
  <c r="P423" s="1"/>
  <c r="O424"/>
  <c r="P424" s="1"/>
  <c r="O425"/>
  <c r="P425" s="1"/>
  <c r="O426"/>
  <c r="P426" s="1"/>
  <c r="O427"/>
  <c r="P427" s="1"/>
  <c r="O428"/>
  <c r="P428" s="1"/>
  <c r="O429"/>
  <c r="P429" s="1"/>
  <c r="O430"/>
  <c r="P430" s="1"/>
  <c r="O431"/>
  <c r="P431" s="1"/>
  <c r="O432"/>
  <c r="P432" s="1"/>
  <c r="O433"/>
  <c r="P433" s="1"/>
  <c r="O434"/>
  <c r="P434" s="1"/>
  <c r="O435"/>
  <c r="P435" s="1"/>
  <c r="O436"/>
  <c r="P436" s="1"/>
  <c r="O437"/>
  <c r="P437" s="1"/>
  <c r="O438"/>
  <c r="P438" s="1"/>
  <c r="O439"/>
  <c r="P439" s="1"/>
  <c r="O440"/>
  <c r="P440" s="1"/>
  <c r="O441"/>
  <c r="P441" s="1"/>
  <c r="O442"/>
  <c r="P442" s="1"/>
  <c r="O443"/>
  <c r="P443" s="1"/>
  <c r="O444"/>
  <c r="P444" s="1"/>
  <c r="O445"/>
  <c r="P445" s="1"/>
  <c r="O446"/>
  <c r="P446" s="1"/>
  <c r="O447"/>
  <c r="P447" s="1"/>
  <c r="O448"/>
  <c r="P448" s="1"/>
  <c r="O449"/>
  <c r="P449" s="1"/>
  <c r="O450"/>
  <c r="P450" s="1"/>
  <c r="O451"/>
  <c r="P451" s="1"/>
  <c r="O452"/>
  <c r="P452" s="1"/>
  <c r="O453"/>
  <c r="P453" s="1"/>
  <c r="O454"/>
  <c r="P454" s="1"/>
  <c r="O455"/>
  <c r="P455" s="1"/>
  <c r="O456"/>
  <c r="P456" s="1"/>
  <c r="O457"/>
  <c r="P457" s="1"/>
  <c r="O458"/>
  <c r="P458" s="1"/>
  <c r="O459"/>
  <c r="P459" s="1"/>
  <c r="O460"/>
  <c r="P460" s="1"/>
  <c r="O461"/>
  <c r="P461" s="1"/>
  <c r="O462"/>
  <c r="P462" s="1"/>
  <c r="O463"/>
  <c r="P463" s="1"/>
  <c r="O464"/>
  <c r="P464" s="1"/>
  <c r="O465"/>
  <c r="P465" s="1"/>
  <c r="O466"/>
  <c r="P466" s="1"/>
  <c r="O467"/>
  <c r="P467" s="1"/>
  <c r="O468"/>
  <c r="P468" s="1"/>
  <c r="O469"/>
  <c r="P469" s="1"/>
  <c r="O470"/>
  <c r="P470" s="1"/>
  <c r="O471"/>
  <c r="P471" s="1"/>
  <c r="O472"/>
  <c r="P472" s="1"/>
  <c r="O473"/>
  <c r="P473" s="1"/>
  <c r="O474"/>
  <c r="P474" s="1"/>
  <c r="O475"/>
  <c r="P475" s="1"/>
  <c r="O476"/>
  <c r="P476" s="1"/>
  <c r="O477"/>
  <c r="P477" s="1"/>
  <c r="O478"/>
  <c r="P478" s="1"/>
  <c r="O479"/>
  <c r="P479" s="1"/>
  <c r="O480"/>
  <c r="P480" s="1"/>
  <c r="O481"/>
  <c r="P481" s="1"/>
  <c r="O482"/>
  <c r="P482" s="1"/>
  <c r="O483"/>
  <c r="P483" s="1"/>
  <c r="O484"/>
  <c r="P484" s="1"/>
  <c r="O485"/>
  <c r="P485" s="1"/>
  <c r="O486"/>
  <c r="P486" s="1"/>
  <c r="O487"/>
  <c r="P487" s="1"/>
  <c r="O488"/>
  <c r="P488" s="1"/>
  <c r="O489"/>
  <c r="P489" s="1"/>
  <c r="O490"/>
  <c r="P490" s="1"/>
  <c r="O491"/>
  <c r="P491" s="1"/>
  <c r="O492"/>
  <c r="P492" s="1"/>
  <c r="O493"/>
  <c r="P493" s="1"/>
  <c r="O494"/>
  <c r="P494" s="1"/>
  <c r="O495"/>
  <c r="P495" s="1"/>
  <c r="O496"/>
  <c r="P496" s="1"/>
  <c r="O497"/>
  <c r="P497" s="1"/>
  <c r="O498"/>
  <c r="P498" s="1"/>
  <c r="O499"/>
  <c r="P499" s="1"/>
  <c r="O500"/>
  <c r="P500" s="1"/>
  <c r="O501"/>
  <c r="P501" s="1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2"/>
</calcChain>
</file>

<file path=xl/sharedStrings.xml><?xml version="1.0" encoding="utf-8"?>
<sst xmlns="http://schemas.openxmlformats.org/spreadsheetml/2006/main" count="3094" uniqueCount="258">
  <si>
    <t>Sale_ID</t>
  </si>
  <si>
    <t>Brand</t>
  </si>
  <si>
    <t>Model</t>
  </si>
  <si>
    <t>Country</t>
  </si>
  <si>
    <t>Storage</t>
  </si>
  <si>
    <t>Color</t>
  </si>
  <si>
    <t>Price_USD</t>
  </si>
  <si>
    <t>Units_Sold</t>
  </si>
  <si>
    <t>Revenue_USD</t>
  </si>
  <si>
    <t>Customer_Rating</t>
  </si>
  <si>
    <t>Payment_Method</t>
  </si>
  <si>
    <t>Sale_Month</t>
  </si>
  <si>
    <t>Sale_Year</t>
  </si>
  <si>
    <t>Realme</t>
  </si>
  <si>
    <t>Realme Model 2</t>
  </si>
  <si>
    <t>UK</t>
  </si>
  <si>
    <t>512GB</t>
  </si>
  <si>
    <t>Gold</t>
  </si>
  <si>
    <t>Installments</t>
  </si>
  <si>
    <t>Vivo</t>
  </si>
  <si>
    <t>Vivo Model 20</t>
  </si>
  <si>
    <t>Australia</t>
  </si>
  <si>
    <t>Blue</t>
  </si>
  <si>
    <t>Debit Card</t>
  </si>
  <si>
    <t>Motorola</t>
  </si>
  <si>
    <t>Motorola Model 12</t>
  </si>
  <si>
    <t>Germany</t>
  </si>
  <si>
    <t>White</t>
  </si>
  <si>
    <t>Credit Card</t>
  </si>
  <si>
    <t>Vivo Model 13</t>
  </si>
  <si>
    <t>USA</t>
  </si>
  <si>
    <t>Vivo Model 15</t>
  </si>
  <si>
    <t>UAE</t>
  </si>
  <si>
    <t>128GB</t>
  </si>
  <si>
    <t>Silver</t>
  </si>
  <si>
    <t>Online Payment</t>
  </si>
  <si>
    <t>Xiaomi</t>
  </si>
  <si>
    <t>Xiaomi Model 5</t>
  </si>
  <si>
    <t>France</t>
  </si>
  <si>
    <t>Green</t>
  </si>
  <si>
    <t>Huawei</t>
  </si>
  <si>
    <t>Huawei Model 17</t>
  </si>
  <si>
    <t>India</t>
  </si>
  <si>
    <t>256GB</t>
  </si>
  <si>
    <t>Samsung</t>
  </si>
  <si>
    <t>Samsung Model 10</t>
  </si>
  <si>
    <t>Huawei Model 6</t>
  </si>
  <si>
    <t>Cash</t>
  </si>
  <si>
    <t>Realme Model 18</t>
  </si>
  <si>
    <t>Xiaomi Model 7</t>
  </si>
  <si>
    <t>64GB</t>
  </si>
  <si>
    <t>Samsung Model 14</t>
  </si>
  <si>
    <t>Realme Model 6</t>
  </si>
  <si>
    <t>Samsung Model 9</t>
  </si>
  <si>
    <t>Xiaomi Model 15</t>
  </si>
  <si>
    <t>OnePlus</t>
  </si>
  <si>
    <t>OnePlus Model 14</t>
  </si>
  <si>
    <t>Canada</t>
  </si>
  <si>
    <t>Oppo</t>
  </si>
  <si>
    <t>Oppo Model 8</t>
  </si>
  <si>
    <t>Saudi Arabia</t>
  </si>
  <si>
    <t>Huawei Model 14</t>
  </si>
  <si>
    <t>Oppo Model 12</t>
  </si>
  <si>
    <t>Black</t>
  </si>
  <si>
    <t>Apple</t>
  </si>
  <si>
    <t>Apple Model 13</t>
  </si>
  <si>
    <t>Apple Model 17</t>
  </si>
  <si>
    <t>OnePlus Model 20</t>
  </si>
  <si>
    <t>OnePlus Model 18</t>
  </si>
  <si>
    <t>Google</t>
  </si>
  <si>
    <t>Google Model 6</t>
  </si>
  <si>
    <t>Google Model 4</t>
  </si>
  <si>
    <t>Vivo Model 18</t>
  </si>
  <si>
    <t>Google Model 11</t>
  </si>
  <si>
    <t>Huawei Model 2</t>
  </si>
  <si>
    <t>Realme Model 17</t>
  </si>
  <si>
    <t>Pakistan</t>
  </si>
  <si>
    <t>Motorola Model 4</t>
  </si>
  <si>
    <t>Vivo Model 10</t>
  </si>
  <si>
    <t>Samsung Model 20</t>
  </si>
  <si>
    <t>Realme Model 16</t>
  </si>
  <si>
    <t>OnePlus Model 17</t>
  </si>
  <si>
    <t>Xiaomi Model 3</t>
  </si>
  <si>
    <t>Google Model 2</t>
  </si>
  <si>
    <t>OnePlus Model 13</t>
  </si>
  <si>
    <t>Realme Model 5</t>
  </si>
  <si>
    <t>Xiaomi Model 16</t>
  </si>
  <si>
    <t>Realme Model 12</t>
  </si>
  <si>
    <t>Vivo Model 9</t>
  </si>
  <si>
    <t>Xiaomi Model 10</t>
  </si>
  <si>
    <t>Oppo Model 16</t>
  </si>
  <si>
    <t>Apple Model 12</t>
  </si>
  <si>
    <t>Realme Model 1</t>
  </si>
  <si>
    <t>Motorola Model 20</t>
  </si>
  <si>
    <t>Huawei Model 8</t>
  </si>
  <si>
    <t>Huawei Model 11</t>
  </si>
  <si>
    <t>Google Model 7</t>
  </si>
  <si>
    <t>OnePlus Model 6</t>
  </si>
  <si>
    <t>Google Model 5</t>
  </si>
  <si>
    <t>Google Model 20</t>
  </si>
  <si>
    <t>OnePlus Model 11</t>
  </si>
  <si>
    <t>Samsung Model 16</t>
  </si>
  <si>
    <t>Apple Model 5</t>
  </si>
  <si>
    <t>Samsung Model 8</t>
  </si>
  <si>
    <t>Google Model 12</t>
  </si>
  <si>
    <t>Google Model 17</t>
  </si>
  <si>
    <t>Huawei Model 7</t>
  </si>
  <si>
    <t>Realme Model 7</t>
  </si>
  <si>
    <t>Motorola Model 6</t>
  </si>
  <si>
    <t>Motorola Model 7</t>
  </si>
  <si>
    <t>Vivo Model 11</t>
  </si>
  <si>
    <t>OnePlus Model 9</t>
  </si>
  <si>
    <t>Apple Model 8</t>
  </si>
  <si>
    <t>Samsung Model 13</t>
  </si>
  <si>
    <t>Samsung Model 4</t>
  </si>
  <si>
    <t>Apple Model 15</t>
  </si>
  <si>
    <t>OnePlus Model 4</t>
  </si>
  <si>
    <t>Oppo Model 14</t>
  </si>
  <si>
    <t>Oppo Model 1</t>
  </si>
  <si>
    <t>OnePlus Model 7</t>
  </si>
  <si>
    <t>Vivo Model 7</t>
  </si>
  <si>
    <t>Google Model 1</t>
  </si>
  <si>
    <t>Vivo Model 5</t>
  </si>
  <si>
    <t>Samsung Model 12</t>
  </si>
  <si>
    <t>Oppo Model 2</t>
  </si>
  <si>
    <t>Google Model 15</t>
  </si>
  <si>
    <t>Vivo Model 8</t>
  </si>
  <si>
    <t>Xiaomi Model 13</t>
  </si>
  <si>
    <t>Huawei Model 4</t>
  </si>
  <si>
    <t>Xiaomi Model 18</t>
  </si>
  <si>
    <t>Vivo Model 17</t>
  </si>
  <si>
    <t>Google Model 14</t>
  </si>
  <si>
    <t>Samsung Model 15</t>
  </si>
  <si>
    <t>Motorola Model 10</t>
  </si>
  <si>
    <t>Motorola Model 18</t>
  </si>
  <si>
    <t>Xiaomi Model 6</t>
  </si>
  <si>
    <t>Samsung Model 11</t>
  </si>
  <si>
    <t>Oppo Model 3</t>
  </si>
  <si>
    <t>Huawei Model 18</t>
  </si>
  <si>
    <t>Xiaomi Model 17</t>
  </si>
  <si>
    <t>Apple Model 20</t>
  </si>
  <si>
    <t>OnePlus Model 1</t>
  </si>
  <si>
    <t>OnePlus Model 3</t>
  </si>
  <si>
    <t>Google Model 16</t>
  </si>
  <si>
    <t>Oppo Model 13</t>
  </si>
  <si>
    <t>Realme Model 9</t>
  </si>
  <si>
    <t>Xiaomi Model 11</t>
  </si>
  <si>
    <t>Apple Model 10</t>
  </si>
  <si>
    <t>Oppo Model 17</t>
  </si>
  <si>
    <t>Samsung Model 7</t>
  </si>
  <si>
    <t>Apple Model 6</t>
  </si>
  <si>
    <t>Xiaomi Model 14</t>
  </si>
  <si>
    <t>Motorola Model 13</t>
  </si>
  <si>
    <t>Oppo Model 7</t>
  </si>
  <si>
    <t>Samsung Model 6</t>
  </si>
  <si>
    <t>Apple Model 11</t>
  </si>
  <si>
    <t>Vivo Model 19</t>
  </si>
  <si>
    <t>Vivo Model 4</t>
  </si>
  <si>
    <t>Oppo Model 11</t>
  </si>
  <si>
    <t>Samsung Model 17</t>
  </si>
  <si>
    <t>OnePlus Model 16</t>
  </si>
  <si>
    <t>Huawei Model 10</t>
  </si>
  <si>
    <t>Vivo Model 3</t>
  </si>
  <si>
    <t>Apple Model 7</t>
  </si>
  <si>
    <t>Huawei Model 5</t>
  </si>
  <si>
    <t>Apple Model 2</t>
  </si>
  <si>
    <t>Realme Model 8</t>
  </si>
  <si>
    <t>Samsung Model 19</t>
  </si>
  <si>
    <t>OnePlus Model 19</t>
  </si>
  <si>
    <t>Huawei Model 3</t>
  </si>
  <si>
    <t>Xiaomi Model 20</t>
  </si>
  <si>
    <t>Apple Model 14</t>
  </si>
  <si>
    <t>Motorola Model 17</t>
  </si>
  <si>
    <t>Apple Model 16</t>
  </si>
  <si>
    <t>Realme Model 15</t>
  </si>
  <si>
    <t>Vivo Model 14</t>
  </si>
  <si>
    <t>Motorola Model 14</t>
  </si>
  <si>
    <t>Huawei Model 16</t>
  </si>
  <si>
    <t>Vivo Model 1</t>
  </si>
  <si>
    <t>Motorola Model 8</t>
  </si>
  <si>
    <t>Apple Model 18</t>
  </si>
  <si>
    <t>Samsung Model 3</t>
  </si>
  <si>
    <t>Huawei Model 12</t>
  </si>
  <si>
    <t>Motorola Model 5</t>
  </si>
  <si>
    <t>Motorola Model 15</t>
  </si>
  <si>
    <t>Motorola Model 1</t>
  </si>
  <si>
    <t>OnePlus Model 8</t>
  </si>
  <si>
    <t>Realme Model 14</t>
  </si>
  <si>
    <t>Xiaomi Model 4</t>
  </si>
  <si>
    <t>Apple Model 9</t>
  </si>
  <si>
    <t>Xiaomi Model 12</t>
  </si>
  <si>
    <t>Samsung Model 2</t>
  </si>
  <si>
    <t>Oppo Model 5</t>
  </si>
  <si>
    <t>Vivo Model 12</t>
  </si>
  <si>
    <t>Xiaomi Model 9</t>
  </si>
  <si>
    <t>Huawei Model 20</t>
  </si>
  <si>
    <t>Huawei Model 13</t>
  </si>
  <si>
    <t>Oppo Model 19</t>
  </si>
  <si>
    <t>Oppo Model 4</t>
  </si>
  <si>
    <t>Google Model 3</t>
  </si>
  <si>
    <t>Google Model 9</t>
  </si>
  <si>
    <t>Xiaomi Model 2</t>
  </si>
  <si>
    <t>Oppo Model 15</t>
  </si>
  <si>
    <t>Motorola Model 2</t>
  </si>
  <si>
    <t>Huawei Model 9</t>
  </si>
  <si>
    <t>Google Model 10</t>
  </si>
  <si>
    <t>Motorola Model 9</t>
  </si>
  <si>
    <t>Apple Model 19</t>
  </si>
  <si>
    <t>Apple Model 3</t>
  </si>
  <si>
    <t>Google Model 13</t>
  </si>
  <si>
    <t>Motorola Model 19</t>
  </si>
  <si>
    <t>Google Model 18</t>
  </si>
  <si>
    <t>Samsung Model 5</t>
  </si>
  <si>
    <t>Realme Model 11</t>
  </si>
  <si>
    <t>Huawei Model 19</t>
  </si>
  <si>
    <t>Samsung Model 18</t>
  </si>
  <si>
    <t>Realme Model 19</t>
  </si>
  <si>
    <t>Xiaomi Model 1</t>
  </si>
  <si>
    <t>Vivo Model 16</t>
  </si>
  <si>
    <t>Xiaomi Model 19</t>
  </si>
  <si>
    <t>Realme Model 4</t>
  </si>
  <si>
    <t>Motorola Model 11</t>
  </si>
  <si>
    <t>Oppo Model 9</t>
  </si>
  <si>
    <t>Vivo Model 2</t>
  </si>
  <si>
    <t>Apple Model 4</t>
  </si>
  <si>
    <t>Google Model 8</t>
  </si>
  <si>
    <t>Vivo Model 6</t>
  </si>
  <si>
    <t>Google Model 19</t>
  </si>
  <si>
    <t>Oppo Model 20</t>
  </si>
  <si>
    <t>Realme Model 13</t>
  </si>
  <si>
    <t>Samsung Model 1</t>
  </si>
  <si>
    <t>Realme Model 20</t>
  </si>
  <si>
    <t>Apple Model 1</t>
  </si>
  <si>
    <t>Motorola Model 3</t>
  </si>
  <si>
    <t>Xiaomi Model 8</t>
  </si>
  <si>
    <t>OnePlus Model 5</t>
  </si>
  <si>
    <t>Month</t>
  </si>
  <si>
    <t>Profit</t>
  </si>
  <si>
    <t>Cost</t>
  </si>
  <si>
    <t>Column Labels</t>
  </si>
  <si>
    <t>Grand Total</t>
  </si>
  <si>
    <t>Row Labels</t>
  </si>
  <si>
    <t>Sum of Revenue_USD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</si>
  <si>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</si>
  <si>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</si>
  <si>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</si>
  <si>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</si>
  <si>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</si>
  <si>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</si>
  <si>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</si>
  <si>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</si>
  <si>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</si>
  <si>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</si>
  <si>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</si>
  <si>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</si>
  <si>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Customer_Rating</t>
  </si>
  <si>
    <t>Sum of Profit</t>
  </si>
  <si>
    <t>Mobile Store Sales Review 2025</t>
  </si>
</sst>
</file>

<file path=xl/styles.xml><?xml version="1.0" encoding="utf-8"?>
<styleSheet xmlns="http://schemas.openxmlformats.org/spreadsheetml/2006/main">
  <numFmts count="1">
    <numFmt numFmtId="164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Border="1"/>
    <xf numFmtId="0" fontId="0" fillId="35" borderId="0" xfId="0" applyFill="1" applyBorder="1"/>
    <xf numFmtId="164" fontId="0" fillId="34" borderId="0" xfId="0" applyNumberFormat="1" applyFill="1" applyBorder="1" applyAlignment="1">
      <alignment horizontal="center" vertical="center"/>
    </xf>
    <xf numFmtId="164" fontId="0" fillId="34" borderId="0" xfId="0" applyNumberFormat="1" applyFill="1" applyBorder="1" applyAlignment="1">
      <alignment horizontal="left" vertical="top"/>
    </xf>
    <xf numFmtId="0" fontId="18" fillId="34" borderId="0" xfId="0" applyFont="1" applyFill="1" applyBorder="1" applyAlignment="1">
      <alignment horizontal="center" vertical="center"/>
    </xf>
    <xf numFmtId="0" fontId="18" fillId="34" borderId="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z val="12"/>
      </font>
    </dxf>
    <dxf>
      <fill>
        <patternFill>
          <bgColor theme="3" tint="0.39997558519241921"/>
        </patternFill>
      </fill>
    </dxf>
    <dxf>
      <border>
        <bottom style="thin">
          <color theme="0"/>
        </bottom>
      </border>
    </dxf>
    <dxf>
      <fill>
        <patternFill patternType="solid">
          <bgColor theme="4" tint="0.59999389629810485"/>
        </patternFill>
      </fill>
    </dxf>
    <dxf>
      <numFmt numFmtId="164" formatCode="_-[$$-409]* #,##0_ ;_-[$$-409]* \-#,##0\ ;_-[$$-409]* &quot;-&quot;??_ ;_-@_ "/>
    </dxf>
    <dxf>
      <alignment horizontal="center" readingOrder="0"/>
    </dxf>
    <dxf>
      <alignment vertical="center" readingOrder="0"/>
    </dxf>
    <dxf>
      <alignment horizontal="left" readingOrder="0"/>
    </dxf>
    <dxf>
      <alignment vertical="top" readingOrder="0"/>
    </dxf>
    <dxf>
      <numFmt numFmtId="165" formatCode="_-[$$-409]* #,##0.00_ ;_-[$$-409]* \-#,##0.00\ ;_-[$$-409]* &quot;-&quot;??_ ;_-@_ "/>
    </dxf>
    <dxf>
      <alignment horizontal="center" readingOrder="0"/>
    </dxf>
    <dxf>
      <numFmt numFmtId="1" formatCode="0"/>
    </dxf>
    <dxf>
      <font>
        <sz val="12"/>
      </font>
    </dxf>
    <dxf>
      <fill>
        <patternFill>
          <bgColor theme="3" tint="0.39997558519241921"/>
        </patternFill>
      </fill>
    </dxf>
    <dxf>
      <border>
        <bottom style="thin">
          <color theme="0"/>
        </bottom>
      </border>
    </dxf>
    <dxf>
      <fill>
        <patternFill patternType="solid">
          <bgColor theme="3" tint="0.79998168889431442"/>
        </patternFill>
      </fill>
    </dxf>
    <dxf>
      <numFmt numFmtId="164" formatCode="_-[$$-409]* #,##0_ ;_-[$$-409]* \-#,##0\ ;_-[$$-409]* &quot;-&quot;??_ ;_-@_ "/>
    </dxf>
    <dxf>
      <alignment horizontal="center" readingOrder="0"/>
    </dxf>
    <dxf>
      <alignment horizontal="center" readingOrder="0"/>
    </dxf>
    <dxf>
      <alignment vertical="center" readingOrder="0"/>
    </dxf>
    <dxf>
      <numFmt numFmtId="1" formatCode="0"/>
    </dxf>
    <dxf>
      <alignment vertical="bottom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Store.xlsx]sales by brand!PivotTable1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Brand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brand'!$B$3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brand'!$A$4:$A$14</c:f>
              <c:strCache>
                <c:ptCount val="10"/>
                <c:pt idx="0">
                  <c:v>Apple</c:v>
                </c:pt>
                <c:pt idx="1">
                  <c:v>Google</c:v>
                </c:pt>
                <c:pt idx="2">
                  <c:v>Huawei</c:v>
                </c:pt>
                <c:pt idx="3">
                  <c:v>Motorola</c:v>
                </c:pt>
                <c:pt idx="4">
                  <c:v>OnePlus</c:v>
                </c:pt>
                <c:pt idx="5">
                  <c:v>Oppo</c:v>
                </c:pt>
                <c:pt idx="6">
                  <c:v>Realme</c:v>
                </c:pt>
                <c:pt idx="7">
                  <c:v>Samsung</c:v>
                </c:pt>
                <c:pt idx="8">
                  <c:v>Vivo</c:v>
                </c:pt>
                <c:pt idx="9">
                  <c:v>Xiaomi</c:v>
                </c:pt>
              </c:strCache>
            </c:strRef>
          </c:cat>
          <c:val>
            <c:numRef>
              <c:f>'sales by brand'!$B$4:$B$14</c:f>
              <c:numCache>
                <c:formatCode>General</c:formatCode>
                <c:ptCount val="10"/>
                <c:pt idx="0">
                  <c:v>472552</c:v>
                </c:pt>
                <c:pt idx="1">
                  <c:v>470623</c:v>
                </c:pt>
                <c:pt idx="2">
                  <c:v>494360</c:v>
                </c:pt>
                <c:pt idx="3">
                  <c:v>497446</c:v>
                </c:pt>
                <c:pt idx="4">
                  <c:v>423516</c:v>
                </c:pt>
                <c:pt idx="5">
                  <c:v>484666</c:v>
                </c:pt>
                <c:pt idx="6">
                  <c:v>384875</c:v>
                </c:pt>
                <c:pt idx="7">
                  <c:v>486589</c:v>
                </c:pt>
                <c:pt idx="8">
                  <c:v>488657</c:v>
                </c:pt>
                <c:pt idx="9">
                  <c:v>436357</c:v>
                </c:pt>
              </c:numCache>
            </c:numRef>
          </c:val>
        </c:ser>
        <c:axId val="141335168"/>
        <c:axId val="141357440"/>
      </c:barChart>
      <c:catAx>
        <c:axId val="141335168"/>
        <c:scaling>
          <c:orientation val="minMax"/>
        </c:scaling>
        <c:axPos val="b"/>
        <c:tickLblPos val="nextTo"/>
        <c:crossAx val="141357440"/>
        <c:crosses val="autoZero"/>
        <c:auto val="1"/>
        <c:lblAlgn val="ctr"/>
        <c:lblOffset val="100"/>
      </c:catAx>
      <c:valAx>
        <c:axId val="141357440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</a:sysClr>
              </a:solidFill>
            </a:ln>
          </c:spPr>
        </c:majorGridlines>
        <c:numFmt formatCode="[$$-45C]\ #,##0" sourceLinked="0"/>
        <c:minorTickMark val="in"/>
        <c:tickLblPos val="nextTo"/>
        <c:crossAx val="14133516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Store.xlsx]Monthyly sales trend!PivotTable2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Mnthly</a:t>
            </a:r>
            <a:r>
              <a:rPr lang="en-US" baseline="0"/>
              <a:t> Sales Trend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'Monthyly sales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'Monthyly sales trend'!$A$4:$A$17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'Monthyly sales trend'!$B$4:$B$17</c:f>
              <c:numCache>
                <c:formatCode>General</c:formatCode>
                <c:ptCount val="12"/>
                <c:pt idx="0">
                  <c:v>343560</c:v>
                </c:pt>
                <c:pt idx="1">
                  <c:v>337167</c:v>
                </c:pt>
                <c:pt idx="2">
                  <c:v>507450</c:v>
                </c:pt>
                <c:pt idx="3">
                  <c:v>330569</c:v>
                </c:pt>
                <c:pt idx="4">
                  <c:v>280859</c:v>
                </c:pt>
                <c:pt idx="5">
                  <c:v>473153</c:v>
                </c:pt>
                <c:pt idx="6">
                  <c:v>411429</c:v>
                </c:pt>
                <c:pt idx="7">
                  <c:v>371536</c:v>
                </c:pt>
                <c:pt idx="8">
                  <c:v>380677</c:v>
                </c:pt>
                <c:pt idx="9">
                  <c:v>445441</c:v>
                </c:pt>
                <c:pt idx="10">
                  <c:v>416627</c:v>
                </c:pt>
                <c:pt idx="11">
                  <c:v>341173</c:v>
                </c:pt>
              </c:numCache>
            </c:numRef>
          </c:val>
        </c:ser>
        <c:marker val="1"/>
        <c:axId val="142722560"/>
        <c:axId val="142724096"/>
      </c:lineChart>
      <c:catAx>
        <c:axId val="142722560"/>
        <c:scaling>
          <c:orientation val="minMax"/>
        </c:scaling>
        <c:axPos val="b"/>
        <c:tickLblPos val="nextTo"/>
        <c:spPr>
          <a:ln cmpd="dbl">
            <a:prstDash val="sysDot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5400000" vert="horz" anchor="ctr" anchorCtr="0"/>
          <a:lstStyle/>
          <a:p>
            <a:pPr>
              <a:defRPr/>
            </a:pPr>
            <a:endParaRPr lang="en-US"/>
          </a:p>
        </c:txPr>
        <c:crossAx val="142724096"/>
        <c:crosses val="autoZero"/>
        <c:auto val="1"/>
        <c:lblAlgn val="ctr"/>
        <c:lblOffset val="100"/>
      </c:catAx>
      <c:valAx>
        <c:axId val="142724096"/>
        <c:scaling>
          <c:orientation val="minMax"/>
        </c:scaling>
        <c:axPos val="l"/>
        <c:majorGridlines/>
        <c:numFmt formatCode="[$$-45C]\ #,##0" sourceLinked="0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2722560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Store.xlsx]Avg Rating By Brand!PivotTable3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Rating</a:t>
            </a:r>
            <a:r>
              <a:rPr lang="en-US" baseline="0"/>
              <a:t> By Brand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view3D>
      <c:rotX val="0"/>
      <c:rotY val="0"/>
      <c:perspective val="160"/>
    </c:view3D>
    <c:plotArea>
      <c:layout>
        <c:manualLayout>
          <c:layoutTarget val="inner"/>
          <c:xMode val="edge"/>
          <c:yMode val="edge"/>
          <c:x val="0.1493079615048119"/>
          <c:y val="0.13414370078740162"/>
          <c:w val="0.79068503937007883"/>
          <c:h val="0.71548191892680091"/>
        </c:manualLayout>
      </c:layout>
      <c:bar3DChart>
        <c:barDir val="bar"/>
        <c:grouping val="clustered"/>
        <c:ser>
          <c:idx val="0"/>
          <c:order val="0"/>
          <c:tx>
            <c:strRef>
              <c:f>'Avg Rating By Brand'!$B$3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'Avg Rating By Brand'!$A$4:$A$14</c:f>
              <c:strCache>
                <c:ptCount val="10"/>
                <c:pt idx="0">
                  <c:v>Apple</c:v>
                </c:pt>
                <c:pt idx="1">
                  <c:v>Google</c:v>
                </c:pt>
                <c:pt idx="2">
                  <c:v>Huawei</c:v>
                </c:pt>
                <c:pt idx="3">
                  <c:v>Motorola</c:v>
                </c:pt>
                <c:pt idx="4">
                  <c:v>OnePlus</c:v>
                </c:pt>
                <c:pt idx="5">
                  <c:v>Oppo</c:v>
                </c:pt>
                <c:pt idx="6">
                  <c:v>Realme</c:v>
                </c:pt>
                <c:pt idx="7">
                  <c:v>Samsung</c:v>
                </c:pt>
                <c:pt idx="8">
                  <c:v>Vivo</c:v>
                </c:pt>
                <c:pt idx="9">
                  <c:v>Xiaomi</c:v>
                </c:pt>
              </c:strCache>
            </c:strRef>
          </c:cat>
          <c:val>
            <c:numRef>
              <c:f>'Avg Rating By Brand'!$B$4:$B$14</c:f>
              <c:numCache>
                <c:formatCode>General</c:formatCode>
                <c:ptCount val="10"/>
                <c:pt idx="0">
                  <c:v>187.09999999999994</c:v>
                </c:pt>
                <c:pt idx="1">
                  <c:v>208.8</c:v>
                </c:pt>
                <c:pt idx="2">
                  <c:v>205.3</c:v>
                </c:pt>
                <c:pt idx="3">
                  <c:v>218.20000000000005</c:v>
                </c:pt>
                <c:pt idx="4">
                  <c:v>159</c:v>
                </c:pt>
                <c:pt idx="5">
                  <c:v>197.50000000000003</c:v>
                </c:pt>
                <c:pt idx="6">
                  <c:v>197.7000000000001</c:v>
                </c:pt>
                <c:pt idx="7">
                  <c:v>206.40000000000003</c:v>
                </c:pt>
                <c:pt idx="8">
                  <c:v>234.49999999999997</c:v>
                </c:pt>
                <c:pt idx="9">
                  <c:v>196.79999999999995</c:v>
                </c:pt>
              </c:numCache>
            </c:numRef>
          </c:val>
        </c:ser>
        <c:shape val="box"/>
        <c:axId val="143265152"/>
        <c:axId val="143263616"/>
        <c:axId val="0"/>
      </c:bar3DChart>
      <c:valAx>
        <c:axId val="143263616"/>
        <c:scaling>
          <c:orientation val="minMax"/>
        </c:scaling>
        <c:axPos val="b"/>
        <c:majorGridlines/>
        <c:numFmt formatCode="General" sourceLinked="1"/>
        <c:tickLblPos val="nextTo"/>
        <c:crossAx val="143265152"/>
        <c:crosses val="autoZero"/>
        <c:crossBetween val="between"/>
      </c:valAx>
      <c:catAx>
        <c:axId val="143265152"/>
        <c:scaling>
          <c:orientation val="minMax"/>
        </c:scaling>
        <c:axPos val="l"/>
        <c:tickLblPos val="nextTo"/>
        <c:crossAx val="143263616"/>
        <c:crosses val="autoZero"/>
        <c:auto val="1"/>
        <c:lblAlgn val="ctr"/>
        <c:lblOffset val="100"/>
      </c:catAx>
    </c:plotArea>
    <c:plotVisOnly val="1"/>
  </c:chart>
  <c:spPr>
    <a:ln cmpd="dbl">
      <a:prstDash val="sysDot"/>
    </a:ln>
    <a:effectLst>
      <a:outerShdw blurRad="50800" dist="50800" dir="5400000" algn="ctr" rotWithShape="0">
        <a:srgbClr val="000000">
          <a:alpha val="89000"/>
        </a:srgbClr>
      </a:outerShdw>
    </a:effectLst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[Mobile Store.xlsx]Sales by country and Brand!PivotTable4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</c:pivotFmts>
    <c:view3D>
      <c:rotX val="10"/>
      <c:rotY val="30"/>
      <c:rAngAx val="1"/>
    </c:view3D>
    <c:sideWall>
      <c:spPr>
        <a:effectLst>
          <a:outerShdw blurRad="50800" dist="50800" dir="5400000" algn="ctr" rotWithShape="0">
            <a:srgbClr val="000000">
              <a:alpha val="98000"/>
            </a:srgbClr>
          </a:outerShdw>
        </a:effectLst>
      </c:spPr>
    </c:sideWall>
    <c:backWall>
      <c:spPr>
        <a:effectLst>
          <a:outerShdw blurRad="50800" dist="50800" dir="5400000" algn="ctr" rotWithShape="0">
            <a:srgbClr val="000000">
              <a:alpha val="98000"/>
            </a:srgbClr>
          </a:outerShdw>
        </a:effectLst>
      </c:spPr>
    </c:backWall>
    <c:plotArea>
      <c:layout>
        <c:manualLayout>
          <c:layoutTarget val="inner"/>
          <c:xMode val="edge"/>
          <c:yMode val="edge"/>
          <c:x val="0.12095270006142851"/>
          <c:y val="5.1400554097404488E-2"/>
          <c:w val="0.86202602334282674"/>
          <c:h val="0.66682888597258683"/>
        </c:manualLayout>
      </c:layout>
      <c:bar3DChart>
        <c:barDir val="col"/>
        <c:grouping val="percentStacked"/>
        <c:ser>
          <c:idx val="0"/>
          <c:order val="0"/>
          <c:tx>
            <c:strRef>
              <c:f>'Sales by country and Brand'!$B$3:$B$4</c:f>
              <c:strCache>
                <c:ptCount val="1"/>
                <c:pt idx="0">
                  <c:v>Apple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Brand'!$B$5:$B$15</c:f>
              <c:numCache>
                <c:formatCode>General</c:formatCode>
                <c:ptCount val="10"/>
                <c:pt idx="0">
                  <c:v>55606</c:v>
                </c:pt>
                <c:pt idx="1">
                  <c:v>51807</c:v>
                </c:pt>
                <c:pt idx="2">
                  <c:v>77466</c:v>
                </c:pt>
                <c:pt idx="3">
                  <c:v>35804</c:v>
                </c:pt>
                <c:pt idx="4">
                  <c:v>31691</c:v>
                </c:pt>
                <c:pt idx="5">
                  <c:v>39330</c:v>
                </c:pt>
                <c:pt idx="6">
                  <c:v>40501</c:v>
                </c:pt>
                <c:pt idx="7">
                  <c:v>52098</c:v>
                </c:pt>
                <c:pt idx="8">
                  <c:v>58552</c:v>
                </c:pt>
                <c:pt idx="9">
                  <c:v>29697</c:v>
                </c:pt>
              </c:numCache>
            </c:numRef>
          </c:val>
        </c:ser>
        <c:ser>
          <c:idx val="1"/>
          <c:order val="1"/>
          <c:tx>
            <c:strRef>
              <c:f>'Sales by country and Brand'!$C$3:$C$4</c:f>
              <c:strCache>
                <c:ptCount val="1"/>
                <c:pt idx="0">
                  <c:v>Google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Brand'!$C$5:$C$15</c:f>
              <c:numCache>
                <c:formatCode>General</c:formatCode>
                <c:ptCount val="10"/>
                <c:pt idx="0">
                  <c:v>45540</c:v>
                </c:pt>
                <c:pt idx="1">
                  <c:v>19016</c:v>
                </c:pt>
                <c:pt idx="2">
                  <c:v>37186</c:v>
                </c:pt>
                <c:pt idx="3">
                  <c:v>46202</c:v>
                </c:pt>
                <c:pt idx="4">
                  <c:v>73581</c:v>
                </c:pt>
                <c:pt idx="5">
                  <c:v>31881</c:v>
                </c:pt>
                <c:pt idx="6">
                  <c:v>13574</c:v>
                </c:pt>
                <c:pt idx="7">
                  <c:v>56863</c:v>
                </c:pt>
                <c:pt idx="8">
                  <c:v>53972</c:v>
                </c:pt>
                <c:pt idx="9">
                  <c:v>92808</c:v>
                </c:pt>
              </c:numCache>
            </c:numRef>
          </c:val>
        </c:ser>
        <c:ser>
          <c:idx val="2"/>
          <c:order val="2"/>
          <c:tx>
            <c:strRef>
              <c:f>'Sales by country and Brand'!$D$3:$D$4</c:f>
              <c:strCache>
                <c:ptCount val="1"/>
                <c:pt idx="0">
                  <c:v>Huawei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Brand'!$D$5:$D$15</c:f>
              <c:numCache>
                <c:formatCode>General</c:formatCode>
                <c:ptCount val="10"/>
                <c:pt idx="0">
                  <c:v>45773</c:v>
                </c:pt>
                <c:pt idx="1">
                  <c:v>65147</c:v>
                </c:pt>
                <c:pt idx="2">
                  <c:v>24544</c:v>
                </c:pt>
                <c:pt idx="3">
                  <c:v>80470</c:v>
                </c:pt>
                <c:pt idx="4">
                  <c:v>82038</c:v>
                </c:pt>
                <c:pt idx="5">
                  <c:v>43751</c:v>
                </c:pt>
                <c:pt idx="6">
                  <c:v>33075</c:v>
                </c:pt>
                <c:pt idx="7">
                  <c:v>22551</c:v>
                </c:pt>
                <c:pt idx="8">
                  <c:v>42364</c:v>
                </c:pt>
                <c:pt idx="9">
                  <c:v>54647</c:v>
                </c:pt>
              </c:numCache>
            </c:numRef>
          </c:val>
        </c:ser>
        <c:ser>
          <c:idx val="3"/>
          <c:order val="3"/>
          <c:tx>
            <c:strRef>
              <c:f>'Sales by country and Brand'!$E$3:$E$4</c:f>
              <c:strCache>
                <c:ptCount val="1"/>
                <c:pt idx="0">
                  <c:v>Motorola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Brand'!$E$5:$E$15</c:f>
              <c:numCache>
                <c:formatCode>General</c:formatCode>
                <c:ptCount val="10"/>
                <c:pt idx="0">
                  <c:v>33456</c:v>
                </c:pt>
                <c:pt idx="1">
                  <c:v>55248</c:v>
                </c:pt>
                <c:pt idx="2">
                  <c:v>43361</c:v>
                </c:pt>
                <c:pt idx="3">
                  <c:v>60138</c:v>
                </c:pt>
                <c:pt idx="4">
                  <c:v>47420</c:v>
                </c:pt>
                <c:pt idx="5">
                  <c:v>29243</c:v>
                </c:pt>
                <c:pt idx="6">
                  <c:v>36406</c:v>
                </c:pt>
                <c:pt idx="7">
                  <c:v>74530</c:v>
                </c:pt>
                <c:pt idx="8">
                  <c:v>57906</c:v>
                </c:pt>
                <c:pt idx="9">
                  <c:v>59738</c:v>
                </c:pt>
              </c:numCache>
            </c:numRef>
          </c:val>
        </c:ser>
        <c:ser>
          <c:idx val="4"/>
          <c:order val="4"/>
          <c:tx>
            <c:strRef>
              <c:f>'Sales by country and Brand'!$F$3:$F$4</c:f>
              <c:strCache>
                <c:ptCount val="1"/>
                <c:pt idx="0">
                  <c:v>OnePlus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Brand'!$F$5:$F$15</c:f>
              <c:numCache>
                <c:formatCode>General</c:formatCode>
                <c:ptCount val="10"/>
                <c:pt idx="0">
                  <c:v>50193</c:v>
                </c:pt>
                <c:pt idx="1">
                  <c:v>18936</c:v>
                </c:pt>
                <c:pt idx="2">
                  <c:v>32287</c:v>
                </c:pt>
                <c:pt idx="3">
                  <c:v>12816</c:v>
                </c:pt>
                <c:pt idx="4">
                  <c:v>11419</c:v>
                </c:pt>
                <c:pt idx="5">
                  <c:v>97472</c:v>
                </c:pt>
                <c:pt idx="6">
                  <c:v>19641</c:v>
                </c:pt>
                <c:pt idx="7">
                  <c:v>74002</c:v>
                </c:pt>
                <c:pt idx="8">
                  <c:v>36302</c:v>
                </c:pt>
                <c:pt idx="9">
                  <c:v>70448</c:v>
                </c:pt>
              </c:numCache>
            </c:numRef>
          </c:val>
        </c:ser>
        <c:ser>
          <c:idx val="5"/>
          <c:order val="5"/>
          <c:tx>
            <c:strRef>
              <c:f>'Sales by country and Brand'!$G$3:$G$4</c:f>
              <c:strCache>
                <c:ptCount val="1"/>
                <c:pt idx="0">
                  <c:v>Oppo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Brand'!$G$5:$G$15</c:f>
              <c:numCache>
                <c:formatCode>General</c:formatCode>
                <c:ptCount val="10"/>
                <c:pt idx="0">
                  <c:v>69084</c:v>
                </c:pt>
                <c:pt idx="1">
                  <c:v>5960</c:v>
                </c:pt>
                <c:pt idx="2">
                  <c:v>39785</c:v>
                </c:pt>
                <c:pt idx="3">
                  <c:v>32136</c:v>
                </c:pt>
                <c:pt idx="4">
                  <c:v>31144</c:v>
                </c:pt>
                <c:pt idx="5">
                  <c:v>21867</c:v>
                </c:pt>
                <c:pt idx="6">
                  <c:v>100661</c:v>
                </c:pt>
                <c:pt idx="7">
                  <c:v>22240</c:v>
                </c:pt>
                <c:pt idx="8">
                  <c:v>68435</c:v>
                </c:pt>
                <c:pt idx="9">
                  <c:v>93354</c:v>
                </c:pt>
              </c:numCache>
            </c:numRef>
          </c:val>
        </c:ser>
        <c:ser>
          <c:idx val="6"/>
          <c:order val="6"/>
          <c:tx>
            <c:strRef>
              <c:f>'Sales by country and Brand'!$H$3:$H$4</c:f>
              <c:strCache>
                <c:ptCount val="1"/>
                <c:pt idx="0">
                  <c:v>Realme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Brand'!$H$5:$H$15</c:f>
              <c:numCache>
                <c:formatCode>General</c:formatCode>
                <c:ptCount val="10"/>
                <c:pt idx="0">
                  <c:v>66493</c:v>
                </c:pt>
                <c:pt idx="1">
                  <c:v>47542</c:v>
                </c:pt>
                <c:pt idx="2">
                  <c:v>46242</c:v>
                </c:pt>
                <c:pt idx="3">
                  <c:v>22624</c:v>
                </c:pt>
                <c:pt idx="4">
                  <c:v>58281</c:v>
                </c:pt>
                <c:pt idx="5">
                  <c:v>5916</c:v>
                </c:pt>
                <c:pt idx="6">
                  <c:v>32047</c:v>
                </c:pt>
                <c:pt idx="7">
                  <c:v>65735</c:v>
                </c:pt>
                <c:pt idx="8">
                  <c:v>30538</c:v>
                </c:pt>
                <c:pt idx="9">
                  <c:v>9457</c:v>
                </c:pt>
              </c:numCache>
            </c:numRef>
          </c:val>
        </c:ser>
        <c:ser>
          <c:idx val="7"/>
          <c:order val="7"/>
          <c:tx>
            <c:strRef>
              <c:f>'Sales by country and Brand'!$I$3:$I$4</c:f>
              <c:strCache>
                <c:ptCount val="1"/>
                <c:pt idx="0">
                  <c:v>Samsung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Brand'!$I$5:$I$15</c:f>
              <c:numCache>
                <c:formatCode>General</c:formatCode>
                <c:ptCount val="10"/>
                <c:pt idx="0">
                  <c:v>92127</c:v>
                </c:pt>
                <c:pt idx="1">
                  <c:v>51997</c:v>
                </c:pt>
                <c:pt idx="2">
                  <c:v>39590</c:v>
                </c:pt>
                <c:pt idx="3">
                  <c:v>26195</c:v>
                </c:pt>
                <c:pt idx="4">
                  <c:v>72069</c:v>
                </c:pt>
                <c:pt idx="5">
                  <c:v>36769</c:v>
                </c:pt>
                <c:pt idx="6">
                  <c:v>48080</c:v>
                </c:pt>
                <c:pt idx="7">
                  <c:v>53556</c:v>
                </c:pt>
                <c:pt idx="8">
                  <c:v>19048</c:v>
                </c:pt>
                <c:pt idx="9">
                  <c:v>47158</c:v>
                </c:pt>
              </c:numCache>
            </c:numRef>
          </c:val>
        </c:ser>
        <c:ser>
          <c:idx val="8"/>
          <c:order val="8"/>
          <c:tx>
            <c:strRef>
              <c:f>'Sales by country and Brand'!$J$3:$J$4</c:f>
              <c:strCache>
                <c:ptCount val="1"/>
                <c:pt idx="0">
                  <c:v>Vivo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Brand'!$J$5:$J$15</c:f>
              <c:numCache>
                <c:formatCode>General</c:formatCode>
                <c:ptCount val="10"/>
                <c:pt idx="0">
                  <c:v>35970</c:v>
                </c:pt>
                <c:pt idx="1">
                  <c:v>12003</c:v>
                </c:pt>
                <c:pt idx="2">
                  <c:v>118723</c:v>
                </c:pt>
                <c:pt idx="3">
                  <c:v>45275</c:v>
                </c:pt>
                <c:pt idx="4">
                  <c:v>34716</c:v>
                </c:pt>
                <c:pt idx="5">
                  <c:v>86292</c:v>
                </c:pt>
                <c:pt idx="6">
                  <c:v>52166</c:v>
                </c:pt>
                <c:pt idx="7">
                  <c:v>25880</c:v>
                </c:pt>
                <c:pt idx="8">
                  <c:v>5684</c:v>
                </c:pt>
                <c:pt idx="9">
                  <c:v>71948</c:v>
                </c:pt>
              </c:numCache>
            </c:numRef>
          </c:val>
        </c:ser>
        <c:ser>
          <c:idx val="9"/>
          <c:order val="9"/>
          <c:tx>
            <c:strRef>
              <c:f>'Sales by country and Brand'!$K$3:$K$4</c:f>
              <c:strCache>
                <c:ptCount val="1"/>
                <c:pt idx="0">
                  <c:v>Xiaomi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Brand'!$K$5:$K$15</c:f>
              <c:numCache>
                <c:formatCode>General</c:formatCode>
                <c:ptCount val="10"/>
                <c:pt idx="0">
                  <c:v>73316</c:v>
                </c:pt>
                <c:pt idx="1">
                  <c:v>28938</c:v>
                </c:pt>
                <c:pt idx="2">
                  <c:v>37157</c:v>
                </c:pt>
                <c:pt idx="3">
                  <c:v>59737</c:v>
                </c:pt>
                <c:pt idx="4">
                  <c:v>41016</c:v>
                </c:pt>
                <c:pt idx="5">
                  <c:v>21317</c:v>
                </c:pt>
                <c:pt idx="6">
                  <c:v>16474</c:v>
                </c:pt>
                <c:pt idx="7">
                  <c:v>81707</c:v>
                </c:pt>
                <c:pt idx="8">
                  <c:v>48925</c:v>
                </c:pt>
                <c:pt idx="9">
                  <c:v>27770</c:v>
                </c:pt>
              </c:numCache>
            </c:numRef>
          </c:val>
        </c:ser>
        <c:gapWidth val="250"/>
        <c:gapDepth val="296"/>
        <c:shape val="box"/>
        <c:axId val="143346304"/>
        <c:axId val="143364480"/>
        <c:axId val="0"/>
      </c:bar3DChart>
      <c:catAx>
        <c:axId val="143346304"/>
        <c:scaling>
          <c:orientation val="minMax"/>
        </c:scaling>
        <c:axPos val="b"/>
        <c:tickLblPos val="nextTo"/>
        <c:crossAx val="143364480"/>
        <c:crosses val="autoZero"/>
        <c:auto val="1"/>
        <c:lblAlgn val="ctr"/>
        <c:lblOffset val="100"/>
      </c:catAx>
      <c:valAx>
        <c:axId val="143364480"/>
        <c:scaling>
          <c:orientation val="minMax"/>
        </c:scaling>
        <c:axPos val="l"/>
        <c:majorGridlines/>
        <c:numFmt formatCode="0%" sourceLinked="1"/>
        <c:tickLblPos val="nextTo"/>
        <c:crossAx val="143346304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Store.xlsx]Top 5 Brand!PivotTable11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5 Brand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spPr>
          <a:ln>
            <a:solidFill>
              <a:sysClr val="windowText" lastClr="000000">
                <a:tint val="75000"/>
                <a:shade val="95000"/>
                <a:satMod val="105000"/>
              </a:sysClr>
            </a:solidFill>
          </a:ln>
          <a:effectLst>
            <a:outerShdw blurRad="50800" dist="50800" dir="5400000" algn="ctr" rotWithShape="0">
              <a:schemeClr val="tx2">
                <a:lumMod val="20000"/>
                <a:lumOff val="80000"/>
                <a:alpha val="99000"/>
              </a:scheme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Brand'!$B$3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ln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</a:ln>
              <a:effectLst>
                <a:outerShdw blurRad="50800" dist="50800" dir="5400000" algn="ctr" rotWithShape="0">
                  <a:schemeClr val="tx2">
                    <a:lumMod val="20000"/>
                    <a:lumOff val="80000"/>
                    <a:alpha val="99000"/>
                  </a:schemeClr>
                </a:outerShdw>
              </a:effectLst>
            </c:spPr>
          </c:dPt>
          <c:cat>
            <c:strRef>
              <c:f>'Top 5 Brand'!$A$4:$A$9</c:f>
              <c:strCache>
                <c:ptCount val="5"/>
                <c:pt idx="0">
                  <c:v>Huawei</c:v>
                </c:pt>
                <c:pt idx="1">
                  <c:v>Motorola</c:v>
                </c:pt>
                <c:pt idx="2">
                  <c:v>Oppo</c:v>
                </c:pt>
                <c:pt idx="3">
                  <c:v>Samsung</c:v>
                </c:pt>
                <c:pt idx="4">
                  <c:v>Vivo</c:v>
                </c:pt>
              </c:strCache>
            </c:strRef>
          </c:cat>
          <c:val>
            <c:numRef>
              <c:f>'Top 5 Brand'!$B$4:$B$9</c:f>
              <c:numCache>
                <c:formatCode>General</c:formatCode>
                <c:ptCount val="5"/>
                <c:pt idx="0">
                  <c:v>494360</c:v>
                </c:pt>
                <c:pt idx="1">
                  <c:v>497446</c:v>
                </c:pt>
                <c:pt idx="2">
                  <c:v>484666</c:v>
                </c:pt>
                <c:pt idx="3">
                  <c:v>486589</c:v>
                </c:pt>
                <c:pt idx="4">
                  <c:v>488657</c:v>
                </c:pt>
              </c:numCache>
            </c:numRef>
          </c:val>
        </c:ser>
        <c:firstSliceAng val="50"/>
      </c:pieChart>
    </c:plotArea>
    <c:legend>
      <c:legendPos val="t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Store.xlsx]sales by brand!PivotTable1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Brand</a:t>
            </a:r>
          </a:p>
        </c:rich>
      </c:tx>
      <c:layout>
        <c:manualLayout>
          <c:xMode val="edge"/>
          <c:yMode val="edge"/>
          <c:x val="0.3162629542441216"/>
          <c:y val="5.6497200274567498E-2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brand'!$B$3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brand'!$A$4:$A$14</c:f>
              <c:strCache>
                <c:ptCount val="10"/>
                <c:pt idx="0">
                  <c:v>Apple</c:v>
                </c:pt>
                <c:pt idx="1">
                  <c:v>Google</c:v>
                </c:pt>
                <c:pt idx="2">
                  <c:v>Huawei</c:v>
                </c:pt>
                <c:pt idx="3">
                  <c:v>Motorola</c:v>
                </c:pt>
                <c:pt idx="4">
                  <c:v>OnePlus</c:v>
                </c:pt>
                <c:pt idx="5">
                  <c:v>Oppo</c:v>
                </c:pt>
                <c:pt idx="6">
                  <c:v>Realme</c:v>
                </c:pt>
                <c:pt idx="7">
                  <c:v>Samsung</c:v>
                </c:pt>
                <c:pt idx="8">
                  <c:v>Vivo</c:v>
                </c:pt>
                <c:pt idx="9">
                  <c:v>Xiaomi</c:v>
                </c:pt>
              </c:strCache>
            </c:strRef>
          </c:cat>
          <c:val>
            <c:numRef>
              <c:f>'sales by brand'!$B$4:$B$14</c:f>
              <c:numCache>
                <c:formatCode>General</c:formatCode>
                <c:ptCount val="10"/>
                <c:pt idx="0">
                  <c:v>472552</c:v>
                </c:pt>
                <c:pt idx="1">
                  <c:v>470623</c:v>
                </c:pt>
                <c:pt idx="2">
                  <c:v>494360</c:v>
                </c:pt>
                <c:pt idx="3">
                  <c:v>497446</c:v>
                </c:pt>
                <c:pt idx="4">
                  <c:v>423516</c:v>
                </c:pt>
                <c:pt idx="5">
                  <c:v>484666</c:v>
                </c:pt>
                <c:pt idx="6">
                  <c:v>384875</c:v>
                </c:pt>
                <c:pt idx="7">
                  <c:v>486589</c:v>
                </c:pt>
                <c:pt idx="8">
                  <c:v>488657</c:v>
                </c:pt>
                <c:pt idx="9">
                  <c:v>436357</c:v>
                </c:pt>
              </c:numCache>
            </c:numRef>
          </c:val>
        </c:ser>
        <c:axId val="143575680"/>
        <c:axId val="143720832"/>
      </c:barChart>
      <c:catAx>
        <c:axId val="143575680"/>
        <c:scaling>
          <c:orientation val="minMax"/>
        </c:scaling>
        <c:axPos val="b"/>
        <c:tickLblPos val="nextTo"/>
        <c:crossAx val="143720832"/>
        <c:crosses val="autoZero"/>
        <c:auto val="1"/>
        <c:lblAlgn val="ctr"/>
        <c:lblOffset val="100"/>
      </c:catAx>
      <c:valAx>
        <c:axId val="143720832"/>
        <c:scaling>
          <c:orientation val="minMax"/>
        </c:scaling>
        <c:axPos val="l"/>
        <c:majorGridlines/>
        <c:numFmt formatCode="[$$-45C]\ #,##0" sourceLinked="0"/>
        <c:minorTickMark val="in"/>
        <c:tickLblPos val="nextTo"/>
        <c:crossAx val="14357568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Store.xlsx]Monthyly sales trend!PivotTable2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Mnthly</a:t>
            </a:r>
            <a:r>
              <a:rPr lang="en-US" baseline="0"/>
              <a:t> Sales Trend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973960073172675"/>
          <c:y val="0.16123247240009397"/>
          <c:w val="0.79524356425143816"/>
          <c:h val="0.38423195155080331"/>
        </c:manualLayout>
      </c:layout>
      <c:lineChart>
        <c:grouping val="stacked"/>
        <c:ser>
          <c:idx val="0"/>
          <c:order val="0"/>
          <c:tx>
            <c:strRef>
              <c:f>'Monthyly sales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'Monthyly sales trend'!$A$4:$A$17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'Monthyly sales trend'!$B$4:$B$17</c:f>
              <c:numCache>
                <c:formatCode>General</c:formatCode>
                <c:ptCount val="12"/>
                <c:pt idx="0">
                  <c:v>343560</c:v>
                </c:pt>
                <c:pt idx="1">
                  <c:v>337167</c:v>
                </c:pt>
                <c:pt idx="2">
                  <c:v>507450</c:v>
                </c:pt>
                <c:pt idx="3">
                  <c:v>330569</c:v>
                </c:pt>
                <c:pt idx="4">
                  <c:v>280859</c:v>
                </c:pt>
                <c:pt idx="5">
                  <c:v>473153</c:v>
                </c:pt>
                <c:pt idx="6">
                  <c:v>411429</c:v>
                </c:pt>
                <c:pt idx="7">
                  <c:v>371536</c:v>
                </c:pt>
                <c:pt idx="8">
                  <c:v>380677</c:v>
                </c:pt>
                <c:pt idx="9">
                  <c:v>445441</c:v>
                </c:pt>
                <c:pt idx="10">
                  <c:v>416627</c:v>
                </c:pt>
                <c:pt idx="11">
                  <c:v>341173</c:v>
                </c:pt>
              </c:numCache>
            </c:numRef>
          </c:val>
        </c:ser>
        <c:marker val="1"/>
        <c:axId val="143770368"/>
        <c:axId val="143771904"/>
      </c:lineChart>
      <c:catAx>
        <c:axId val="143770368"/>
        <c:scaling>
          <c:orientation val="minMax"/>
        </c:scaling>
        <c:axPos val="b"/>
        <c:tickLblPos val="nextTo"/>
        <c:spPr>
          <a:ln cmpd="dbl">
            <a:prstDash val="sysDot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5400000" vert="horz" anchor="ctr" anchorCtr="0"/>
          <a:lstStyle/>
          <a:p>
            <a:pPr>
              <a:defRPr/>
            </a:pPr>
            <a:endParaRPr lang="en-US"/>
          </a:p>
        </c:txPr>
        <c:crossAx val="143771904"/>
        <c:crosses val="autoZero"/>
        <c:auto val="1"/>
        <c:lblAlgn val="ctr"/>
        <c:lblOffset val="100"/>
      </c:catAx>
      <c:valAx>
        <c:axId val="143771904"/>
        <c:scaling>
          <c:orientation val="minMax"/>
        </c:scaling>
        <c:axPos val="l"/>
        <c:majorGridlines/>
        <c:numFmt formatCode="[$$-45C]\ #,##0" sourceLinked="0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770368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[Mobile Store.xlsx]Avg Rating By Brand!PivotTable3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Rating</a:t>
            </a:r>
            <a:r>
              <a:rPr lang="en-US" baseline="0"/>
              <a:t> By Brand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0"/>
      <c:rotY val="0"/>
      <c:perspective val="160"/>
    </c:view3D>
    <c:plotArea>
      <c:layout>
        <c:manualLayout>
          <c:layoutTarget val="inner"/>
          <c:xMode val="edge"/>
          <c:yMode val="edge"/>
          <c:x val="0.17857460125176661"/>
          <c:y val="0.160910690761356"/>
          <c:w val="0.72475443569553832"/>
          <c:h val="0.69870174274192742"/>
        </c:manualLayout>
      </c:layout>
      <c:bar3DChart>
        <c:barDir val="bar"/>
        <c:grouping val="clustered"/>
        <c:ser>
          <c:idx val="0"/>
          <c:order val="0"/>
          <c:tx>
            <c:strRef>
              <c:f>'Avg Rating By Brand'!$B$3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'Avg Rating By Brand'!$A$4:$A$14</c:f>
              <c:strCache>
                <c:ptCount val="10"/>
                <c:pt idx="0">
                  <c:v>Apple</c:v>
                </c:pt>
                <c:pt idx="1">
                  <c:v>Google</c:v>
                </c:pt>
                <c:pt idx="2">
                  <c:v>Huawei</c:v>
                </c:pt>
                <c:pt idx="3">
                  <c:v>Motorola</c:v>
                </c:pt>
                <c:pt idx="4">
                  <c:v>OnePlus</c:v>
                </c:pt>
                <c:pt idx="5">
                  <c:v>Oppo</c:v>
                </c:pt>
                <c:pt idx="6">
                  <c:v>Realme</c:v>
                </c:pt>
                <c:pt idx="7">
                  <c:v>Samsung</c:v>
                </c:pt>
                <c:pt idx="8">
                  <c:v>Vivo</c:v>
                </c:pt>
                <c:pt idx="9">
                  <c:v>Xiaomi</c:v>
                </c:pt>
              </c:strCache>
            </c:strRef>
          </c:cat>
          <c:val>
            <c:numRef>
              <c:f>'Avg Rating By Brand'!$B$4:$B$14</c:f>
              <c:numCache>
                <c:formatCode>General</c:formatCode>
                <c:ptCount val="10"/>
                <c:pt idx="0">
                  <c:v>187.09999999999994</c:v>
                </c:pt>
                <c:pt idx="1">
                  <c:v>208.8</c:v>
                </c:pt>
                <c:pt idx="2">
                  <c:v>205.3</c:v>
                </c:pt>
                <c:pt idx="3">
                  <c:v>218.20000000000005</c:v>
                </c:pt>
                <c:pt idx="4">
                  <c:v>159</c:v>
                </c:pt>
                <c:pt idx="5">
                  <c:v>197.50000000000003</c:v>
                </c:pt>
                <c:pt idx="6">
                  <c:v>197.7000000000001</c:v>
                </c:pt>
                <c:pt idx="7">
                  <c:v>206.40000000000003</c:v>
                </c:pt>
                <c:pt idx="8">
                  <c:v>234.49999999999997</c:v>
                </c:pt>
                <c:pt idx="9">
                  <c:v>196.79999999999995</c:v>
                </c:pt>
              </c:numCache>
            </c:numRef>
          </c:val>
        </c:ser>
        <c:shape val="box"/>
        <c:axId val="143788288"/>
        <c:axId val="143786752"/>
        <c:axId val="0"/>
      </c:bar3DChart>
      <c:valAx>
        <c:axId val="143786752"/>
        <c:scaling>
          <c:orientation val="minMax"/>
        </c:scaling>
        <c:axPos val="b"/>
        <c:majorGridlines/>
        <c:numFmt formatCode="General" sourceLinked="1"/>
        <c:tickLblPos val="nextTo"/>
        <c:crossAx val="143788288"/>
        <c:crosses val="autoZero"/>
        <c:crossBetween val="between"/>
      </c:valAx>
      <c:catAx>
        <c:axId val="143788288"/>
        <c:scaling>
          <c:orientation val="minMax"/>
        </c:scaling>
        <c:axPos val="l"/>
        <c:tickLblPos val="nextTo"/>
        <c:crossAx val="143786752"/>
        <c:crosses val="autoZero"/>
        <c:auto val="1"/>
        <c:lblAlgn val="ctr"/>
        <c:lblOffset val="100"/>
      </c:catAx>
    </c:plotArea>
    <c:plotVisOnly val="1"/>
  </c:chart>
  <c:spPr>
    <a:ln cmpd="dbl">
      <a:prstDash val="sysDot"/>
    </a:ln>
    <a:effectLst>
      <a:outerShdw blurRad="50800" dist="50800" dir="5400000" algn="ctr" rotWithShape="0">
        <a:srgbClr val="000000">
          <a:alpha val="89000"/>
        </a:srgbClr>
      </a:outerShdw>
    </a:effectLst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[Mobile Store.xlsx]Sales by country and Brand!PivotTable4</c:name>
    <c:fmtId val="2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</c:pivotFmts>
    <c:view3D>
      <c:rotX val="10"/>
      <c:rotY val="30"/>
      <c:rAngAx val="1"/>
    </c:view3D>
    <c:sideWall>
      <c:spPr>
        <a:effectLst>
          <a:outerShdw blurRad="50800" dist="50800" dir="5400000" algn="ctr" rotWithShape="0">
            <a:srgbClr val="000000">
              <a:alpha val="98000"/>
            </a:srgbClr>
          </a:outerShdw>
        </a:effectLst>
      </c:spPr>
    </c:sideWall>
    <c:backWall>
      <c:spPr>
        <a:effectLst>
          <a:outerShdw blurRad="50800" dist="50800" dir="5400000" algn="ctr" rotWithShape="0">
            <a:srgbClr val="000000">
              <a:alpha val="98000"/>
            </a:srgbClr>
          </a:outerShdw>
        </a:effectLst>
      </c:spPr>
    </c:backWall>
    <c:plotArea>
      <c:layout>
        <c:manualLayout>
          <c:layoutTarget val="inner"/>
          <c:xMode val="edge"/>
          <c:yMode val="edge"/>
          <c:x val="0.12581596418094798"/>
          <c:y val="0.10385941567740294"/>
          <c:w val="0.84234629552378903"/>
          <c:h val="0.63782992052013543"/>
        </c:manualLayout>
      </c:layout>
      <c:bar3DChart>
        <c:barDir val="col"/>
        <c:grouping val="percentStacked"/>
        <c:ser>
          <c:idx val="0"/>
          <c:order val="0"/>
          <c:tx>
            <c:strRef>
              <c:f>'Sales by country and Brand'!$B$3:$B$4</c:f>
              <c:strCache>
                <c:ptCount val="1"/>
                <c:pt idx="0">
                  <c:v>Apple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Brand'!$B$5:$B$15</c:f>
              <c:numCache>
                <c:formatCode>General</c:formatCode>
                <c:ptCount val="10"/>
                <c:pt idx="0">
                  <c:v>55606</c:v>
                </c:pt>
                <c:pt idx="1">
                  <c:v>51807</c:v>
                </c:pt>
                <c:pt idx="2">
                  <c:v>77466</c:v>
                </c:pt>
                <c:pt idx="3">
                  <c:v>35804</c:v>
                </c:pt>
                <c:pt idx="4">
                  <c:v>31691</c:v>
                </c:pt>
                <c:pt idx="5">
                  <c:v>39330</c:v>
                </c:pt>
                <c:pt idx="6">
                  <c:v>40501</c:v>
                </c:pt>
                <c:pt idx="7">
                  <c:v>52098</c:v>
                </c:pt>
                <c:pt idx="8">
                  <c:v>58552</c:v>
                </c:pt>
                <c:pt idx="9">
                  <c:v>29697</c:v>
                </c:pt>
              </c:numCache>
            </c:numRef>
          </c:val>
        </c:ser>
        <c:ser>
          <c:idx val="1"/>
          <c:order val="1"/>
          <c:tx>
            <c:strRef>
              <c:f>'Sales by country and Brand'!$C$3:$C$4</c:f>
              <c:strCache>
                <c:ptCount val="1"/>
                <c:pt idx="0">
                  <c:v>Google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Brand'!$C$5:$C$15</c:f>
              <c:numCache>
                <c:formatCode>General</c:formatCode>
                <c:ptCount val="10"/>
                <c:pt idx="0">
                  <c:v>45540</c:v>
                </c:pt>
                <c:pt idx="1">
                  <c:v>19016</c:v>
                </c:pt>
                <c:pt idx="2">
                  <c:v>37186</c:v>
                </c:pt>
                <c:pt idx="3">
                  <c:v>46202</c:v>
                </c:pt>
                <c:pt idx="4">
                  <c:v>73581</c:v>
                </c:pt>
                <c:pt idx="5">
                  <c:v>31881</c:v>
                </c:pt>
                <c:pt idx="6">
                  <c:v>13574</c:v>
                </c:pt>
                <c:pt idx="7">
                  <c:v>56863</c:v>
                </c:pt>
                <c:pt idx="8">
                  <c:v>53972</c:v>
                </c:pt>
                <c:pt idx="9">
                  <c:v>92808</c:v>
                </c:pt>
              </c:numCache>
            </c:numRef>
          </c:val>
        </c:ser>
        <c:ser>
          <c:idx val="2"/>
          <c:order val="2"/>
          <c:tx>
            <c:strRef>
              <c:f>'Sales by country and Brand'!$D$3:$D$4</c:f>
              <c:strCache>
                <c:ptCount val="1"/>
                <c:pt idx="0">
                  <c:v>Huawei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Brand'!$D$5:$D$15</c:f>
              <c:numCache>
                <c:formatCode>General</c:formatCode>
                <c:ptCount val="10"/>
                <c:pt idx="0">
                  <c:v>45773</c:v>
                </c:pt>
                <c:pt idx="1">
                  <c:v>65147</c:v>
                </c:pt>
                <c:pt idx="2">
                  <c:v>24544</c:v>
                </c:pt>
                <c:pt idx="3">
                  <c:v>80470</c:v>
                </c:pt>
                <c:pt idx="4">
                  <c:v>82038</c:v>
                </c:pt>
                <c:pt idx="5">
                  <c:v>43751</c:v>
                </c:pt>
                <c:pt idx="6">
                  <c:v>33075</c:v>
                </c:pt>
                <c:pt idx="7">
                  <c:v>22551</c:v>
                </c:pt>
                <c:pt idx="8">
                  <c:v>42364</c:v>
                </c:pt>
                <c:pt idx="9">
                  <c:v>54647</c:v>
                </c:pt>
              </c:numCache>
            </c:numRef>
          </c:val>
        </c:ser>
        <c:ser>
          <c:idx val="3"/>
          <c:order val="3"/>
          <c:tx>
            <c:strRef>
              <c:f>'Sales by country and Brand'!$E$3:$E$4</c:f>
              <c:strCache>
                <c:ptCount val="1"/>
                <c:pt idx="0">
                  <c:v>Motorola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Brand'!$E$5:$E$15</c:f>
              <c:numCache>
                <c:formatCode>General</c:formatCode>
                <c:ptCount val="10"/>
                <c:pt idx="0">
                  <c:v>33456</c:v>
                </c:pt>
                <c:pt idx="1">
                  <c:v>55248</c:v>
                </c:pt>
                <c:pt idx="2">
                  <c:v>43361</c:v>
                </c:pt>
                <c:pt idx="3">
                  <c:v>60138</c:v>
                </c:pt>
                <c:pt idx="4">
                  <c:v>47420</c:v>
                </c:pt>
                <c:pt idx="5">
                  <c:v>29243</c:v>
                </c:pt>
                <c:pt idx="6">
                  <c:v>36406</c:v>
                </c:pt>
                <c:pt idx="7">
                  <c:v>74530</c:v>
                </c:pt>
                <c:pt idx="8">
                  <c:v>57906</c:v>
                </c:pt>
                <c:pt idx="9">
                  <c:v>59738</c:v>
                </c:pt>
              </c:numCache>
            </c:numRef>
          </c:val>
        </c:ser>
        <c:ser>
          <c:idx val="4"/>
          <c:order val="4"/>
          <c:tx>
            <c:strRef>
              <c:f>'Sales by country and Brand'!$F$3:$F$4</c:f>
              <c:strCache>
                <c:ptCount val="1"/>
                <c:pt idx="0">
                  <c:v>OnePlus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Brand'!$F$5:$F$15</c:f>
              <c:numCache>
                <c:formatCode>General</c:formatCode>
                <c:ptCount val="10"/>
                <c:pt idx="0">
                  <c:v>50193</c:v>
                </c:pt>
                <c:pt idx="1">
                  <c:v>18936</c:v>
                </c:pt>
                <c:pt idx="2">
                  <c:v>32287</c:v>
                </c:pt>
                <c:pt idx="3">
                  <c:v>12816</c:v>
                </c:pt>
                <c:pt idx="4">
                  <c:v>11419</c:v>
                </c:pt>
                <c:pt idx="5">
                  <c:v>97472</c:v>
                </c:pt>
                <c:pt idx="6">
                  <c:v>19641</c:v>
                </c:pt>
                <c:pt idx="7">
                  <c:v>74002</c:v>
                </c:pt>
                <c:pt idx="8">
                  <c:v>36302</c:v>
                </c:pt>
                <c:pt idx="9">
                  <c:v>70448</c:v>
                </c:pt>
              </c:numCache>
            </c:numRef>
          </c:val>
        </c:ser>
        <c:ser>
          <c:idx val="5"/>
          <c:order val="5"/>
          <c:tx>
            <c:strRef>
              <c:f>'Sales by country and Brand'!$G$3:$G$4</c:f>
              <c:strCache>
                <c:ptCount val="1"/>
                <c:pt idx="0">
                  <c:v>Oppo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Brand'!$G$5:$G$15</c:f>
              <c:numCache>
                <c:formatCode>General</c:formatCode>
                <c:ptCount val="10"/>
                <c:pt idx="0">
                  <c:v>69084</c:v>
                </c:pt>
                <c:pt idx="1">
                  <c:v>5960</c:v>
                </c:pt>
                <c:pt idx="2">
                  <c:v>39785</c:v>
                </c:pt>
                <c:pt idx="3">
                  <c:v>32136</c:v>
                </c:pt>
                <c:pt idx="4">
                  <c:v>31144</c:v>
                </c:pt>
                <c:pt idx="5">
                  <c:v>21867</c:v>
                </c:pt>
                <c:pt idx="6">
                  <c:v>100661</c:v>
                </c:pt>
                <c:pt idx="7">
                  <c:v>22240</c:v>
                </c:pt>
                <c:pt idx="8">
                  <c:v>68435</c:v>
                </c:pt>
                <c:pt idx="9">
                  <c:v>93354</c:v>
                </c:pt>
              </c:numCache>
            </c:numRef>
          </c:val>
        </c:ser>
        <c:ser>
          <c:idx val="6"/>
          <c:order val="6"/>
          <c:tx>
            <c:strRef>
              <c:f>'Sales by country and Brand'!$H$3:$H$4</c:f>
              <c:strCache>
                <c:ptCount val="1"/>
                <c:pt idx="0">
                  <c:v>Realme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Brand'!$H$5:$H$15</c:f>
              <c:numCache>
                <c:formatCode>General</c:formatCode>
                <c:ptCount val="10"/>
                <c:pt idx="0">
                  <c:v>66493</c:v>
                </c:pt>
                <c:pt idx="1">
                  <c:v>47542</c:v>
                </c:pt>
                <c:pt idx="2">
                  <c:v>46242</c:v>
                </c:pt>
                <c:pt idx="3">
                  <c:v>22624</c:v>
                </c:pt>
                <c:pt idx="4">
                  <c:v>58281</c:v>
                </c:pt>
                <c:pt idx="5">
                  <c:v>5916</c:v>
                </c:pt>
                <c:pt idx="6">
                  <c:v>32047</c:v>
                </c:pt>
                <c:pt idx="7">
                  <c:v>65735</c:v>
                </c:pt>
                <c:pt idx="8">
                  <c:v>30538</c:v>
                </c:pt>
                <c:pt idx="9">
                  <c:v>9457</c:v>
                </c:pt>
              </c:numCache>
            </c:numRef>
          </c:val>
        </c:ser>
        <c:ser>
          <c:idx val="7"/>
          <c:order val="7"/>
          <c:tx>
            <c:strRef>
              <c:f>'Sales by country and Brand'!$I$3:$I$4</c:f>
              <c:strCache>
                <c:ptCount val="1"/>
                <c:pt idx="0">
                  <c:v>Samsung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Brand'!$I$5:$I$15</c:f>
              <c:numCache>
                <c:formatCode>General</c:formatCode>
                <c:ptCount val="10"/>
                <c:pt idx="0">
                  <c:v>92127</c:v>
                </c:pt>
                <c:pt idx="1">
                  <c:v>51997</c:v>
                </c:pt>
                <c:pt idx="2">
                  <c:v>39590</c:v>
                </c:pt>
                <c:pt idx="3">
                  <c:v>26195</c:v>
                </c:pt>
                <c:pt idx="4">
                  <c:v>72069</c:v>
                </c:pt>
                <c:pt idx="5">
                  <c:v>36769</c:v>
                </c:pt>
                <c:pt idx="6">
                  <c:v>48080</c:v>
                </c:pt>
                <c:pt idx="7">
                  <c:v>53556</c:v>
                </c:pt>
                <c:pt idx="8">
                  <c:v>19048</c:v>
                </c:pt>
                <c:pt idx="9">
                  <c:v>47158</c:v>
                </c:pt>
              </c:numCache>
            </c:numRef>
          </c:val>
        </c:ser>
        <c:ser>
          <c:idx val="8"/>
          <c:order val="8"/>
          <c:tx>
            <c:strRef>
              <c:f>'Sales by country and Brand'!$J$3:$J$4</c:f>
              <c:strCache>
                <c:ptCount val="1"/>
                <c:pt idx="0">
                  <c:v>Vivo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Brand'!$J$5:$J$15</c:f>
              <c:numCache>
                <c:formatCode>General</c:formatCode>
                <c:ptCount val="10"/>
                <c:pt idx="0">
                  <c:v>35970</c:v>
                </c:pt>
                <c:pt idx="1">
                  <c:v>12003</c:v>
                </c:pt>
                <c:pt idx="2">
                  <c:v>118723</c:v>
                </c:pt>
                <c:pt idx="3">
                  <c:v>45275</c:v>
                </c:pt>
                <c:pt idx="4">
                  <c:v>34716</c:v>
                </c:pt>
                <c:pt idx="5">
                  <c:v>86292</c:v>
                </c:pt>
                <c:pt idx="6">
                  <c:v>52166</c:v>
                </c:pt>
                <c:pt idx="7">
                  <c:v>25880</c:v>
                </c:pt>
                <c:pt idx="8">
                  <c:v>5684</c:v>
                </c:pt>
                <c:pt idx="9">
                  <c:v>71948</c:v>
                </c:pt>
              </c:numCache>
            </c:numRef>
          </c:val>
        </c:ser>
        <c:ser>
          <c:idx val="9"/>
          <c:order val="9"/>
          <c:tx>
            <c:strRef>
              <c:f>'Sales by country and Brand'!$K$3:$K$4</c:f>
              <c:strCache>
                <c:ptCount val="1"/>
                <c:pt idx="0">
                  <c:v>Xiaomi</c:v>
                </c:pt>
              </c:strCache>
            </c:strRef>
          </c:tx>
          <c:cat>
            <c:strRef>
              <c:f>'Sales by country and Brand'!$A$5:$A$15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Pakistan</c:v>
                </c:pt>
                <c:pt idx="6">
                  <c:v>Saudi Arabia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'Sales by country and Brand'!$K$5:$K$15</c:f>
              <c:numCache>
                <c:formatCode>General</c:formatCode>
                <c:ptCount val="10"/>
                <c:pt idx="0">
                  <c:v>73316</c:v>
                </c:pt>
                <c:pt idx="1">
                  <c:v>28938</c:v>
                </c:pt>
                <c:pt idx="2">
                  <c:v>37157</c:v>
                </c:pt>
                <c:pt idx="3">
                  <c:v>59737</c:v>
                </c:pt>
                <c:pt idx="4">
                  <c:v>41016</c:v>
                </c:pt>
                <c:pt idx="5">
                  <c:v>21317</c:v>
                </c:pt>
                <c:pt idx="6">
                  <c:v>16474</c:v>
                </c:pt>
                <c:pt idx="7">
                  <c:v>81707</c:v>
                </c:pt>
                <c:pt idx="8">
                  <c:v>48925</c:v>
                </c:pt>
                <c:pt idx="9">
                  <c:v>27770</c:v>
                </c:pt>
              </c:numCache>
            </c:numRef>
          </c:val>
        </c:ser>
        <c:gapWidth val="250"/>
        <c:gapDepth val="296"/>
        <c:shape val="box"/>
        <c:axId val="143881344"/>
        <c:axId val="143882880"/>
        <c:axId val="0"/>
      </c:bar3DChart>
      <c:catAx>
        <c:axId val="143881344"/>
        <c:scaling>
          <c:orientation val="minMax"/>
        </c:scaling>
        <c:axPos val="b"/>
        <c:tickLblPos val="nextTo"/>
        <c:crossAx val="143882880"/>
        <c:crosses val="autoZero"/>
        <c:auto val="1"/>
        <c:lblAlgn val="ctr"/>
        <c:lblOffset val="100"/>
      </c:catAx>
      <c:valAx>
        <c:axId val="143882880"/>
        <c:scaling>
          <c:orientation val="minMax"/>
        </c:scaling>
        <c:axPos val="l"/>
        <c:majorGridlines/>
        <c:numFmt formatCode="0%" sourceLinked="1"/>
        <c:tickLblPos val="nextTo"/>
        <c:crossAx val="143881344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[Mobile Store.xlsx]Top 5 Brand!PivotTable11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5 Brand</a:t>
            </a:r>
          </a:p>
        </c:rich>
      </c:tx>
      <c:layout>
        <c:manualLayout>
          <c:xMode val="edge"/>
          <c:yMode val="edge"/>
          <c:x val="0.26665237058133684"/>
          <c:y val="0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</c:pivotFmt>
    </c:pivotFmts>
    <c:plotArea>
      <c:layout/>
      <c:pieChart>
        <c:varyColors val="1"/>
        <c:ser>
          <c:idx val="0"/>
          <c:order val="0"/>
          <c:tx>
            <c:strRef>
              <c:f>'Top 5 Brand'!$B$3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'Top 5 Brand'!$A$4:$A$9</c:f>
              <c:strCache>
                <c:ptCount val="5"/>
                <c:pt idx="0">
                  <c:v>Huawei</c:v>
                </c:pt>
                <c:pt idx="1">
                  <c:v>Motorola</c:v>
                </c:pt>
                <c:pt idx="2">
                  <c:v>Oppo</c:v>
                </c:pt>
                <c:pt idx="3">
                  <c:v>Samsung</c:v>
                </c:pt>
                <c:pt idx="4">
                  <c:v>Vivo</c:v>
                </c:pt>
              </c:strCache>
            </c:strRef>
          </c:cat>
          <c:val>
            <c:numRef>
              <c:f>'Top 5 Brand'!$B$4:$B$9</c:f>
              <c:numCache>
                <c:formatCode>General</c:formatCode>
                <c:ptCount val="5"/>
                <c:pt idx="0">
                  <c:v>494360</c:v>
                </c:pt>
                <c:pt idx="1">
                  <c:v>497446</c:v>
                </c:pt>
                <c:pt idx="2">
                  <c:v>484666</c:v>
                </c:pt>
                <c:pt idx="3">
                  <c:v>486589</c:v>
                </c:pt>
                <c:pt idx="4">
                  <c:v>488657</c:v>
                </c:pt>
              </c:numCache>
            </c:numRef>
          </c:val>
        </c:ser>
        <c:firstSliceAng val="50"/>
      </c:pieChart>
    </c:plotArea>
    <c:legend>
      <c:legendPos val="b"/>
      <c:layout>
        <c:manualLayout>
          <c:xMode val="edge"/>
          <c:yMode val="edge"/>
          <c:x val="8.0599542078516814E-2"/>
          <c:y val="0.76322662723928081"/>
          <c:w val="0.88419054001228559"/>
          <c:h val="0.20183887494412545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95249</xdr:rowOff>
    </xdr:from>
    <xdr:to>
      <xdr:col>11</xdr:col>
      <xdr:colOff>476250</xdr:colOff>
      <xdr:row>17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3</xdr:row>
      <xdr:rowOff>85725</xdr:rowOff>
    </xdr:from>
    <xdr:to>
      <xdr:col>11</xdr:col>
      <xdr:colOff>219076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5</xdr:row>
      <xdr:rowOff>123825</xdr:rowOff>
    </xdr:from>
    <xdr:to>
      <xdr:col>10</xdr:col>
      <xdr:colOff>247650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5</xdr:row>
      <xdr:rowOff>123825</xdr:rowOff>
    </xdr:from>
    <xdr:to>
      <xdr:col>11</xdr:col>
      <xdr:colOff>295275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5</xdr:row>
      <xdr:rowOff>85724</xdr:rowOff>
    </xdr:from>
    <xdr:to>
      <xdr:col>9</xdr:col>
      <xdr:colOff>104775</xdr:colOff>
      <xdr:row>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1</xdr:row>
      <xdr:rowOff>19050</xdr:rowOff>
    </xdr:from>
    <xdr:to>
      <xdr:col>16</xdr:col>
      <xdr:colOff>419100</xdr:colOff>
      <xdr:row>10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10</xdr:row>
      <xdr:rowOff>28576</xdr:rowOff>
    </xdr:from>
    <xdr:to>
      <xdr:col>7</xdr:col>
      <xdr:colOff>638175</xdr:colOff>
      <xdr:row>22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1</xdr:row>
      <xdr:rowOff>9526</xdr:rowOff>
    </xdr:from>
    <xdr:to>
      <xdr:col>7</xdr:col>
      <xdr:colOff>647701</xdr:colOff>
      <xdr:row>9</xdr:row>
      <xdr:rowOff>171451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771526</xdr:colOff>
      <xdr:row>10</xdr:row>
      <xdr:rowOff>123825</xdr:rowOff>
    </xdr:from>
    <xdr:to>
      <xdr:col>16</xdr:col>
      <xdr:colOff>285750</xdr:colOff>
      <xdr:row>22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752475</xdr:colOff>
      <xdr:row>0</xdr:row>
      <xdr:rowOff>285749</xdr:rowOff>
    </xdr:from>
    <xdr:to>
      <xdr:col>10</xdr:col>
      <xdr:colOff>514350</xdr:colOff>
      <xdr:row>10</xdr:row>
      <xdr:rowOff>95249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NA" refreshedDate="46082.474346990741" createdVersion="3" refreshedVersion="3" minRefreshableVersion="3" recordCount="500">
  <cacheSource type="worksheet">
    <worksheetSource ref="A1:P501" sheet="synthetic_mobile_sales_2025"/>
  </cacheSource>
  <cacheFields count="16">
    <cacheField name="Sale_ID" numFmtId="0">
      <sharedItems containsSemiMixedTypes="0" containsString="0" containsNumber="1" containsInteger="1" minValue="1" maxValue="500"/>
    </cacheField>
    <cacheField name="Brand" numFmtId="0">
      <sharedItems count="10">
        <s v="Realme"/>
        <s v="Vivo"/>
        <s v="Motorola"/>
        <s v="Xiaomi"/>
        <s v="Huawei"/>
        <s v="Samsung"/>
        <s v="OnePlus"/>
        <s v="Oppo"/>
        <s v="Apple"/>
        <s v="Google"/>
      </sharedItems>
    </cacheField>
    <cacheField name="Model" numFmtId="0">
      <sharedItems count="188">
        <s v="Realme Model 2"/>
        <s v="Vivo Model 20"/>
        <s v="Motorola Model 12"/>
        <s v="Vivo Model 13"/>
        <s v="Vivo Model 15"/>
        <s v="Xiaomi Model 5"/>
        <s v="Huawei Model 17"/>
        <s v="Samsung Model 10"/>
        <s v="Huawei Model 6"/>
        <s v="Realme Model 18"/>
        <s v="Xiaomi Model 7"/>
        <s v="Samsung Model 14"/>
        <s v="Realme Model 6"/>
        <s v="Samsung Model 9"/>
        <s v="Xiaomi Model 15"/>
        <s v="OnePlus Model 14"/>
        <s v="Oppo Model 8"/>
        <s v="Huawei Model 14"/>
        <s v="Oppo Model 12"/>
        <s v="Apple Model 13"/>
        <s v="Apple Model 17"/>
        <s v="OnePlus Model 20"/>
        <s v="OnePlus Model 18"/>
        <s v="Google Model 6"/>
        <s v="Google Model 4"/>
        <s v="Vivo Model 18"/>
        <s v="Google Model 11"/>
        <s v="Huawei Model 2"/>
        <s v="Realme Model 17"/>
        <s v="Motorola Model 4"/>
        <s v="Vivo Model 10"/>
        <s v="Samsung Model 20"/>
        <s v="Realme Model 16"/>
        <s v="OnePlus Model 17"/>
        <s v="Xiaomi Model 3"/>
        <s v="Google Model 2"/>
        <s v="OnePlus Model 13"/>
        <s v="Realme Model 5"/>
        <s v="Xiaomi Model 16"/>
        <s v="Realme Model 12"/>
        <s v="Vivo Model 9"/>
        <s v="Xiaomi Model 10"/>
        <s v="Oppo Model 16"/>
        <s v="Apple Model 12"/>
        <s v="Realme Model 1"/>
        <s v="Motorola Model 20"/>
        <s v="Huawei Model 8"/>
        <s v="Huawei Model 11"/>
        <s v="Google Model 7"/>
        <s v="OnePlus Model 6"/>
        <s v="Google Model 5"/>
        <s v="Google Model 20"/>
        <s v="OnePlus Model 11"/>
        <s v="Samsung Model 16"/>
        <s v="Apple Model 5"/>
        <s v="Samsung Model 8"/>
        <s v="Google Model 12"/>
        <s v="Google Model 17"/>
        <s v="Huawei Model 7"/>
        <s v="Realme Model 7"/>
        <s v="Motorola Model 6"/>
        <s v="Motorola Model 7"/>
        <s v="Vivo Model 11"/>
        <s v="OnePlus Model 9"/>
        <s v="Apple Model 8"/>
        <s v="Samsung Model 13"/>
        <s v="Samsung Model 4"/>
        <s v="Apple Model 15"/>
        <s v="OnePlus Model 4"/>
        <s v="Oppo Model 14"/>
        <s v="Oppo Model 1"/>
        <s v="OnePlus Model 7"/>
        <s v="Vivo Model 7"/>
        <s v="Google Model 1"/>
        <s v="Vivo Model 5"/>
        <s v="Samsung Model 12"/>
        <s v="Oppo Model 2"/>
        <s v="Google Model 15"/>
        <s v="Vivo Model 8"/>
        <s v="Xiaomi Model 13"/>
        <s v="Huawei Model 4"/>
        <s v="Xiaomi Model 18"/>
        <s v="Vivo Model 17"/>
        <s v="Google Model 14"/>
        <s v="Samsung Model 15"/>
        <s v="Motorola Model 10"/>
        <s v="Motorola Model 18"/>
        <s v="Xiaomi Model 6"/>
        <s v="Samsung Model 11"/>
        <s v="Oppo Model 3"/>
        <s v="Huawei Model 18"/>
        <s v="Xiaomi Model 17"/>
        <s v="Apple Model 20"/>
        <s v="OnePlus Model 1"/>
        <s v="OnePlus Model 3"/>
        <s v="Google Model 16"/>
        <s v="Oppo Model 13"/>
        <s v="Realme Model 9"/>
        <s v="Xiaomi Model 11"/>
        <s v="Apple Model 10"/>
        <s v="Oppo Model 17"/>
        <s v="Samsung Model 7"/>
        <s v="Apple Model 6"/>
        <s v="Xiaomi Model 14"/>
        <s v="Motorola Model 13"/>
        <s v="Oppo Model 7"/>
        <s v="Samsung Model 6"/>
        <s v="Apple Model 11"/>
        <s v="Vivo Model 19"/>
        <s v="Vivo Model 4"/>
        <s v="Oppo Model 11"/>
        <s v="Samsung Model 17"/>
        <s v="OnePlus Model 16"/>
        <s v="Huawei Model 10"/>
        <s v="Vivo Model 3"/>
        <s v="Apple Model 7"/>
        <s v="Huawei Model 5"/>
        <s v="Apple Model 2"/>
        <s v="Realme Model 8"/>
        <s v="Samsung Model 19"/>
        <s v="OnePlus Model 19"/>
        <s v="Huawei Model 3"/>
        <s v="Xiaomi Model 20"/>
        <s v="Apple Model 14"/>
        <s v="Motorola Model 17"/>
        <s v="Apple Model 16"/>
        <s v="Realme Model 15"/>
        <s v="Vivo Model 14"/>
        <s v="Motorola Model 14"/>
        <s v="Huawei Model 16"/>
        <s v="Vivo Model 1"/>
        <s v="Motorola Model 8"/>
        <s v="Apple Model 18"/>
        <s v="Samsung Model 3"/>
        <s v="Huawei Model 12"/>
        <s v="Motorola Model 5"/>
        <s v="Motorola Model 15"/>
        <s v="Motorola Model 1"/>
        <s v="OnePlus Model 8"/>
        <s v="Realme Model 14"/>
        <s v="Xiaomi Model 4"/>
        <s v="Apple Model 9"/>
        <s v="Xiaomi Model 12"/>
        <s v="Samsung Model 2"/>
        <s v="Oppo Model 5"/>
        <s v="Vivo Model 12"/>
        <s v="Xiaomi Model 9"/>
        <s v="Huawei Model 20"/>
        <s v="Huawei Model 13"/>
        <s v="Oppo Model 19"/>
        <s v="Oppo Model 4"/>
        <s v="Google Model 3"/>
        <s v="Google Model 9"/>
        <s v="Xiaomi Model 2"/>
        <s v="Oppo Model 15"/>
        <s v="Motorola Model 2"/>
        <s v="Huawei Model 9"/>
        <s v="Google Model 10"/>
        <s v="Motorola Model 9"/>
        <s v="Apple Model 19"/>
        <s v="Apple Model 3"/>
        <s v="Google Model 13"/>
        <s v="Motorola Model 19"/>
        <s v="Google Model 18"/>
        <s v="Samsung Model 5"/>
        <s v="Realme Model 11"/>
        <s v="Huawei Model 19"/>
        <s v="Samsung Model 18"/>
        <s v="Realme Model 19"/>
        <s v="Xiaomi Model 1"/>
        <s v="Vivo Model 16"/>
        <s v="Xiaomi Model 19"/>
        <s v="Realme Model 4"/>
        <s v="Motorola Model 11"/>
        <s v="Oppo Model 9"/>
        <s v="Vivo Model 2"/>
        <s v="Apple Model 4"/>
        <s v="Google Model 8"/>
        <s v="Vivo Model 6"/>
        <s v="Google Model 19"/>
        <s v="Oppo Model 20"/>
        <s v="Realme Model 13"/>
        <s v="Samsung Model 1"/>
        <s v="Realme Model 20"/>
        <s v="Apple Model 1"/>
        <s v="Motorola Model 3"/>
        <s v="Xiaomi Model 8"/>
        <s v="OnePlus Model 5"/>
      </sharedItems>
    </cacheField>
    <cacheField name="Country" numFmtId="0">
      <sharedItems count="10">
        <s v="UK"/>
        <s v="Australia"/>
        <s v="Germany"/>
        <s v="USA"/>
        <s v="UAE"/>
        <s v="France"/>
        <s v="India"/>
        <s v="Canada"/>
        <s v="Saudi Arabia"/>
        <s v="Pakistan"/>
      </sharedItems>
    </cacheField>
    <cacheField name="Storage" numFmtId="0">
      <sharedItems/>
    </cacheField>
    <cacheField name="Color" numFmtId="0">
      <sharedItems/>
    </cacheField>
    <cacheField name="Price_USD" numFmtId="0">
      <sharedItems containsSemiMixedTypes="0" containsString="0" containsNumber="1" containsInteger="1" minValue="302" maxValue="1500" count="416">
        <n v="656"/>
        <n v="1013"/>
        <n v="1471"/>
        <n v="1220"/>
        <n v="375"/>
        <n v="1129"/>
        <n v="1161"/>
        <n v="417"/>
        <n v="495"/>
        <n v="921"/>
        <n v="930"/>
        <n v="953"/>
        <n v="541"/>
        <n v="476"/>
        <n v="1084"/>
        <n v="985"/>
        <n v="695"/>
        <n v="1072"/>
        <n v="1156"/>
        <n v="1474"/>
        <n v="460"/>
        <n v="641"/>
        <n v="747"/>
        <n v="601"/>
        <n v="726"/>
        <n v="1032"/>
        <n v="610"/>
        <n v="1395"/>
        <n v="1270"/>
        <n v="493"/>
        <n v="1176"/>
        <n v="512"/>
        <n v="817"/>
        <n v="916"/>
        <n v="1218"/>
        <n v="1038"/>
        <n v="859"/>
        <n v="708"/>
        <n v="555"/>
        <n v="1186"/>
        <n v="744"/>
        <n v="1152"/>
        <n v="1264"/>
        <n v="306"/>
        <n v="1250"/>
        <n v="560"/>
        <n v="705"/>
        <n v="907"/>
        <n v="314"/>
        <n v="1278"/>
        <n v="1300"/>
        <n v="1409"/>
        <n v="1159"/>
        <n v="1489"/>
        <n v="496"/>
        <n v="1102"/>
        <n v="481"/>
        <n v="473"/>
        <n v="668"/>
        <n v="1325"/>
        <n v="428"/>
        <n v="567"/>
        <n v="973"/>
        <n v="1442"/>
        <n v="1242"/>
        <n v="797"/>
        <n v="1057"/>
        <n v="1052"/>
        <n v="534"/>
        <n v="991"/>
        <n v="1272"/>
        <n v="754"/>
        <n v="335"/>
        <n v="631"/>
        <n v="908"/>
        <n v="1121"/>
        <n v="1500"/>
        <n v="342"/>
        <n v="1324"/>
        <n v="984"/>
        <n v="1458"/>
        <n v="1454"/>
        <n v="1142"/>
        <n v="913"/>
        <n v="1315"/>
        <n v="1167"/>
        <n v="1002"/>
        <n v="790"/>
        <n v="1335"/>
        <n v="866"/>
        <n v="1443"/>
        <n v="992"/>
        <n v="332"/>
        <n v="1382"/>
        <n v="414"/>
        <n v="383"/>
        <n v="1120"/>
        <n v="1255"/>
        <n v="704"/>
        <n v="878"/>
        <n v="772"/>
        <n v="415"/>
        <n v="782"/>
        <n v="412"/>
        <n v="1481"/>
        <n v="838"/>
        <n v="471"/>
        <n v="1440"/>
        <n v="858"/>
        <n v="507"/>
        <n v="572"/>
        <n v="1346"/>
        <n v="825"/>
        <n v="445"/>
        <n v="1463"/>
        <n v="1205"/>
        <n v="723"/>
        <n v="1235"/>
        <n v="1274"/>
        <n v="1310"/>
        <n v="1374"/>
        <n v="918"/>
        <n v="966"/>
        <n v="501"/>
        <n v="1224"/>
        <n v="1403"/>
        <n v="1088"/>
        <n v="579"/>
        <n v="707"/>
        <n v="1137"/>
        <n v="388"/>
        <n v="612"/>
        <n v="1021"/>
        <n v="503"/>
        <n v="516"/>
        <n v="1482"/>
        <n v="499"/>
        <n v="458"/>
        <n v="494"/>
        <n v="500"/>
        <n v="1376"/>
        <n v="456"/>
        <n v="655"/>
        <n v="354"/>
        <n v="812"/>
        <n v="1118"/>
        <n v="1457"/>
        <n v="1014"/>
        <n v="1203"/>
        <n v="1240"/>
        <n v="419"/>
        <n v="524"/>
        <n v="749"/>
        <n v="649"/>
        <n v="570"/>
        <n v="588"/>
        <n v="465"/>
        <n v="841"/>
        <n v="1472"/>
        <n v="378"/>
        <n v="710"/>
        <n v="903"/>
        <n v="548"/>
        <n v="675"/>
        <n v="646"/>
        <n v="1009"/>
        <n v="1388"/>
        <n v="642"/>
        <n v="1217"/>
        <n v="477"/>
        <n v="1023"/>
        <n v="786"/>
        <n v="497"/>
        <n v="1433"/>
        <n v="1222"/>
        <n v="1279"/>
        <n v="1275"/>
        <n v="391"/>
        <n v="361"/>
        <n v="1132"/>
        <n v="715"/>
        <n v="1148"/>
        <n v="1251"/>
        <n v="1041"/>
        <n v="547"/>
        <n v="585"/>
        <n v="1379"/>
        <n v="741"/>
        <n v="452"/>
        <n v="843"/>
        <n v="650"/>
        <n v="1332"/>
        <n v="322"/>
        <n v="1198"/>
        <n v="1087"/>
        <n v="1306"/>
        <n v="822"/>
        <n v="483"/>
        <n v="898"/>
        <n v="959"/>
        <n v="525"/>
        <n v="1135"/>
        <n v="1005"/>
        <n v="719"/>
        <n v="344"/>
        <n v="467"/>
        <n v="1405"/>
        <n v="988"/>
        <n v="387"/>
        <n v="1115"/>
        <n v="343"/>
        <n v="474"/>
        <n v="682"/>
        <n v="1173"/>
        <n v="647"/>
        <n v="393"/>
        <n v="877"/>
        <n v="917"/>
        <n v="1050"/>
        <n v="1487"/>
        <n v="1234"/>
        <n v="1071"/>
        <n v="318"/>
        <n v="922"/>
        <n v="1245"/>
        <n v="713"/>
        <n v="813"/>
        <n v="1069"/>
        <n v="947"/>
        <n v="1216"/>
        <n v="592"/>
        <n v="734"/>
        <n v="888"/>
        <n v="530"/>
        <n v="319"/>
        <n v="889"/>
        <n v="986"/>
        <n v="1083"/>
        <n v="1340"/>
        <n v="1089"/>
        <n v="581"/>
        <n v="1341"/>
        <n v="1094"/>
        <n v="1247"/>
        <n v="1015"/>
        <n v="1066"/>
        <n v="1436"/>
        <n v="327"/>
        <n v="727"/>
        <n v="1361"/>
        <n v="687"/>
        <n v="736"/>
        <n v="645"/>
        <n v="1329"/>
        <n v="1109"/>
        <n v="673"/>
        <n v="1406"/>
        <n v="1298"/>
        <n v="667"/>
        <n v="1446"/>
        <n v="390"/>
        <n v="1162"/>
        <n v="345"/>
        <n v="1022"/>
        <n v="621"/>
        <n v="1073"/>
        <n v="488"/>
        <n v="1257"/>
        <n v="402"/>
        <n v="709"/>
        <n v="738"/>
        <n v="835"/>
        <n v="617"/>
        <n v="928"/>
        <n v="480"/>
        <n v="1384"/>
        <n v="1113"/>
        <n v="1065"/>
        <n v="1058"/>
        <n v="1407"/>
        <n v="374"/>
        <n v="1101"/>
        <n v="1040"/>
        <n v="539"/>
        <n v="909"/>
        <n v="613"/>
        <n v="1031"/>
        <n v="302"/>
        <n v="486"/>
        <n v="857"/>
        <n v="1483"/>
        <n v="895"/>
        <n v="1215"/>
        <n v="775"/>
        <n v="757"/>
        <n v="967"/>
        <n v="320"/>
        <n v="562"/>
        <n v="1068"/>
        <n v="1019"/>
        <n v="1437"/>
        <n v="1236"/>
        <n v="1085"/>
        <n v="422"/>
        <n v="1464"/>
        <n v="1160"/>
        <n v="528"/>
        <n v="577"/>
        <n v="1059"/>
        <n v="1476"/>
        <n v="902"/>
        <n v="1412"/>
        <n v="416"/>
        <n v="1271"/>
        <n v="431"/>
        <n v="826"/>
        <n v="940"/>
        <n v="1036"/>
        <n v="1252"/>
        <n v="1254"/>
        <n v="399"/>
        <n v="1184"/>
        <n v="552"/>
        <n v="1284"/>
        <n v="1026"/>
        <n v="1372"/>
        <n v="1423"/>
        <n v="644"/>
        <n v="1197"/>
        <n v="1000"/>
        <n v="490"/>
        <n v="666"/>
        <n v="1123"/>
        <n v="1075"/>
        <n v="1334"/>
        <n v="384"/>
        <n v="1280"/>
        <n v="532"/>
        <n v="789"/>
        <n v="1259"/>
        <n v="1347"/>
        <n v="746"/>
        <n v="1273"/>
        <n v="595"/>
        <n v="557"/>
        <n v="1449"/>
        <n v="764"/>
        <n v="874"/>
        <n v="569"/>
        <n v="529"/>
        <n v="455"/>
        <n v="820"/>
        <n v="328"/>
        <n v="1307"/>
        <n v="1227"/>
        <n v="648"/>
        <n v="574"/>
        <n v="672"/>
        <n v="852"/>
        <n v="1117"/>
        <n v="1378"/>
        <n v="518"/>
        <n v="1151"/>
        <n v="767"/>
        <n v="712"/>
        <n v="573"/>
        <n v="784"/>
        <n v="1130"/>
        <n v="1490"/>
        <n v="1183"/>
        <n v="1225"/>
        <n v="336"/>
        <n v="1003"/>
        <n v="911"/>
        <n v="1333"/>
        <n v="819"/>
        <n v="1460"/>
        <n v="584"/>
        <n v="1312"/>
        <n v="350"/>
        <n v="688"/>
        <n v="1466"/>
        <n v="910"/>
        <n v="663"/>
        <n v="846"/>
        <n v="475"/>
        <n v="658"/>
        <n v="1149"/>
        <n v="1261"/>
        <n v="739"/>
        <n v="1266"/>
        <n v="538"/>
        <n v="1338"/>
        <n v="561"/>
        <n v="766"/>
        <n v="1288"/>
        <n v="987"/>
        <n v="1024"/>
        <n v="1342"/>
        <n v="690"/>
        <n v="1439"/>
        <n v="768"/>
        <n v="1475"/>
        <n v="413"/>
        <n v="506"/>
        <n v="729"/>
        <n v="1104"/>
        <n v="544"/>
        <n v="433"/>
        <n v="381"/>
        <n v="681"/>
        <n v="670"/>
        <n v="531"/>
        <n v="1488"/>
        <n v="952"/>
        <n v="371"/>
      </sharedItems>
    </cacheField>
    <cacheField name="Units_Sold" numFmtId="0">
      <sharedItems containsSemiMixedTypes="0" containsString="0" containsNumber="1" containsInteger="1" minValue="1" maxValue="20" count="20">
        <n v="20"/>
        <n v="9"/>
        <n v="7"/>
        <n v="19"/>
        <n v="8"/>
        <n v="15"/>
        <n v="12"/>
        <n v="4"/>
        <n v="2"/>
        <n v="3"/>
        <n v="14"/>
        <n v="18"/>
        <n v="5"/>
        <n v="10"/>
        <n v="13"/>
        <n v="6"/>
        <n v="1"/>
        <n v="16"/>
        <n v="11"/>
        <n v="17"/>
      </sharedItems>
    </cacheField>
    <cacheField name="Revenue_USD" numFmtId="0">
      <sharedItems containsSemiMixedTypes="0" containsString="0" containsNumber="1" containsInteger="1" minValue="302" maxValue="29660" count="483">
        <n v="13120"/>
        <n v="9117"/>
        <n v="10297"/>
        <n v="23180"/>
        <n v="3000"/>
        <n v="16935"/>
        <n v="23220"/>
        <n v="5004"/>
        <n v="1980"/>
        <n v="1842"/>
        <n v="2790"/>
        <n v="13342"/>
        <n v="8115"/>
        <n v="9520"/>
        <n v="16260"/>
        <n v="17730"/>
        <n v="2780"/>
        <n v="5360"/>
        <n v="17340"/>
        <n v="14740"/>
        <n v="6440"/>
        <n v="5128"/>
        <n v="10458"/>
        <n v="7813"/>
        <n v="4356"/>
        <n v="10320"/>
        <n v="1220"/>
        <n v="8370"/>
        <n v="19050"/>
        <n v="1972"/>
        <n v="17640"/>
        <n v="1536"/>
        <n v="9804"/>
        <n v="5916"/>
        <n v="916"/>
        <n v="4872"/>
        <n v="1038"/>
        <n v="17180"/>
        <n v="4248"/>
        <n v="9990"/>
        <n v="2372"/>
        <n v="7440"/>
        <n v="13824"/>
        <n v="7584"/>
        <n v="3060"/>
        <n v="20000"/>
        <n v="3920"/>
        <n v="2820"/>
        <n v="907"/>
        <n v="2512"/>
        <n v="24282"/>
        <n v="13900"/>
        <n v="23400"/>
        <n v="1409"/>
        <n v="12749"/>
        <n v="25313"/>
        <n v="2976"/>
        <n v="15428"/>
        <n v="3367"/>
        <n v="473"/>
        <n v="13360"/>
        <n v="21200"/>
        <n v="6420"/>
        <n v="3969"/>
        <n v="13622"/>
        <n v="8280"/>
        <n v="2884"/>
        <n v="4968"/>
        <n v="6376"/>
        <n v="9513"/>
        <n v="2104"/>
        <n v="10680"/>
        <n v="19820"/>
        <n v="8904"/>
        <n v="6032"/>
        <n v="670"/>
        <n v="7572"/>
        <n v="6356"/>
        <n v="12331"/>
        <n v="12000"/>
        <n v="1368"/>
        <n v="11916"/>
        <n v="9840"/>
        <n v="8748"/>
        <n v="8724"/>
        <n v="18272"/>
        <n v="8217"/>
        <n v="11835"/>
        <n v="15171"/>
        <n v="3006"/>
        <n v="12640"/>
        <n v="8010"/>
        <n v="10392"/>
        <n v="1443"/>
        <n v="16864"/>
        <n v="5312"/>
        <n v="16584"/>
        <n v="4596"/>
        <n v="11200"/>
        <n v="2510"/>
        <n v="5632"/>
        <n v="6146"/>
        <n v="7720"/>
        <n v="4980"/>
        <n v="10166"/>
        <n v="7828"/>
        <n v="14810"/>
        <n v="1676"/>
        <n v="4239"/>
        <n v="27360"/>
        <n v="10296"/>
        <n v="6084"/>
        <n v="9724"/>
        <n v="4038"/>
        <n v="7425"/>
        <n v="6230"/>
        <n v="1463"/>
        <n v="3615"/>
        <n v="6507"/>
        <n v="7410"/>
        <n v="14014"/>
        <n v="19650"/>
        <n v="4122"/>
        <n v="18360"/>
        <n v="5796"/>
        <n v="1002"/>
        <n v="24480"/>
        <n v="23824"/>
        <n v="23851"/>
        <n v="7616"/>
        <n v="4053"/>
        <n v="12726"/>
        <n v="2274"/>
        <n v="2716"/>
        <n v="8568"/>
        <n v="20420"/>
        <n v="10060"/>
        <n v="4128"/>
        <n v="14820"/>
        <n v="3992"/>
        <n v="458"/>
        <n v="1500"/>
        <n v="2752"/>
        <n v="9120"/>
        <n v="11790"/>
        <n v="4956"/>
        <n v="16240"/>
        <n v="7826"/>
        <n v="11656"/>
        <n v="12168"/>
        <n v="3171"/>
        <n v="19248"/>
        <n v="2480"/>
        <n v="838"/>
        <n v="6812"/>
        <n v="2247"/>
        <n v="16224"/>
        <n v="7788"/>
        <n v="2280"/>
        <n v="16604"/>
        <n v="8820"/>
        <n v="28860"/>
        <n v="2325"/>
        <n v="10092"/>
        <n v="5520"/>
        <n v="5888"/>
        <n v="4914"/>
        <n v="4970"/>
        <n v="8127"/>
        <n v="9316"/>
        <n v="9384"/>
        <n v="12150"/>
        <n v="12274"/>
        <n v="3027"/>
        <n v="13880"/>
        <n v="2568"/>
        <n v="15821"/>
        <n v="3339"/>
        <n v="1023"/>
        <n v="3930"/>
        <n v="3479"/>
        <n v="921"/>
        <n v="12897"/>
        <n v="9776"/>
        <n v="20464"/>
        <n v="24225"/>
        <n v="2737"/>
        <n v="361"/>
        <n v="12452"/>
        <n v="12155"/>
        <n v="9184"/>
        <n v="15012"/>
        <n v="17697"/>
        <n v="6564"/>
        <n v="15444"/>
        <n v="8775"/>
        <n v="8274"/>
        <n v="13338"/>
        <n v="6780"/>
        <n v="2529"/>
        <n v="3250"/>
        <n v="15984"/>
        <n v="1932"/>
        <n v="9500"/>
        <n v="7188"/>
        <n v="19566"/>
        <n v="23508"/>
        <n v="18428"/>
        <n v="16440"/>
        <n v="7245"/>
        <n v="11674"/>
        <n v="6713"/>
        <n v="19320"/>
        <n v="525"/>
        <n v="5675"/>
        <n v="2010"/>
        <n v="7909"/>
        <n v="9340"/>
        <n v="25290"/>
        <n v="13832"/>
        <n v="3870"/>
        <n v="16725"/>
        <n v="3430"/>
        <n v="6162"/>
        <n v="6138"/>
        <n v="7014"/>
        <n v="18768"/>
        <n v="3252"/>
        <n v="10352"/>
        <n v="5109"/>
        <n v="8770"/>
        <n v="14672"/>
        <n v="5250"/>
        <n v="14870"/>
        <n v="7404"/>
        <n v="3213"/>
        <n v="3498"/>
        <n v="9220"/>
        <n v="21165"/>
        <n v="13547"/>
        <n v="12828"/>
        <n v="16099"/>
        <n v="10318"/>
        <n v="10215"/>
        <n v="4864"/>
        <n v="2960"/>
        <n v="5138"/>
        <n v="8880"/>
        <n v="3710"/>
        <n v="2871"/>
        <n v="10668"/>
        <n v="9860"/>
        <n v="16500"/>
        <n v="19494"/>
        <n v="21440"/>
        <n v="14157"/>
        <n v="6972"/>
        <n v="9387"/>
        <n v="14222"/>
        <n v="14964"/>
        <n v="2145"/>
        <n v="8120"/>
        <n v="13858"/>
        <n v="10052"/>
        <n v="2616"/>
        <n v="12359"/>
        <n v="21776"/>
        <n v="12366"/>
        <n v="11040"/>
        <n v="7740"/>
        <n v="3556"/>
        <n v="5316"/>
        <n v="3327"/>
        <n v="2692"/>
        <n v="12654"/>
        <n v="16874"/>
        <n v="6003"/>
        <n v="18798"/>
        <n v="3510"/>
        <n v="17430"/>
        <n v="4485"/>
        <n v="19418"/>
        <n v="9315"/>
        <n v="11803"/>
        <n v="3416"/>
        <n v="3771"/>
        <n v="4824"/>
        <n v="12762"/>
        <n v="13284"/>
        <n v="4774"/>
        <n v="12525"/>
        <n v="23845"/>
        <n v="16704"/>
        <n v="1426"/>
        <n v="3188"/>
        <n v="8640"/>
        <n v="16608"/>
        <n v="10017"/>
        <n v="13923"/>
        <n v="8520"/>
        <n v="4232"/>
        <n v="2814"/>
        <n v="6732"/>
        <n v="2202"/>
        <n v="12480"/>
        <n v="539"/>
        <n v="15453"/>
        <n v="5000"/>
        <n v="7969"/>
        <n v="16496"/>
        <n v="5160"/>
        <n v="302"/>
        <n v="4480"/>
        <n v="9040"/>
        <n v="3888"/>
        <n v="8570"/>
        <n v="29660"/>
        <n v="9845"/>
        <n v="7290"/>
        <n v="7750"/>
        <n v="1716"/>
        <n v="9084"/>
        <n v="8703"/>
        <n v="2560"/>
        <n v="10116"/>
        <n v="12816"/>
        <n v="6114"/>
        <n v="4144"/>
        <n v="7185"/>
        <n v="16068"/>
        <n v="21700"/>
        <n v="2540"/>
        <n v="7596"/>
        <n v="27816"/>
        <n v="2436"/>
        <n v="10560"/>
        <n v="1731"/>
        <n v="1059"/>
        <n v="9248"/>
        <n v="26568"/>
        <n v="17772"/>
        <n v="17138"/>
        <n v="7060"/>
        <n v="6240"/>
        <n v="22878"/>
        <n v="431"/>
        <n v="7434"/>
        <n v="726"/>
        <n v="5061"/>
        <n v="16920"/>
        <n v="19684"/>
        <n v="23788"/>
        <n v="20064"/>
        <n v="6744"/>
        <n v="3591"/>
        <n v="4736"/>
        <n v="2860"/>
        <n v="1310"/>
        <n v="4416"/>
        <n v="21828"/>
        <n v="3078"/>
        <n v="14865"/>
        <n v="27440"/>
        <n v="12807"/>
        <n v="12236"/>
        <n v="5985"/>
        <n v="6000"/>
        <n v="8330"/>
        <n v="1998"/>
        <n v="2246"/>
        <n v="17200"/>
        <n v="13340"/>
        <n v="5376"/>
        <n v="1280"/>
        <n v="1596"/>
        <n v="4734"/>
        <n v="23921"/>
        <n v="18858"/>
        <n v="14174"/>
        <n v="9000"/>
        <n v="2028"/>
        <n v="25460"/>
        <n v="595"/>
        <n v="3342"/>
        <n v="13041"/>
        <n v="20664"/>
        <n v="12224"/>
        <n v="1748"/>
        <n v="13329"/>
        <n v="5121"/>
        <n v="9522"/>
        <n v="4550"/>
        <n v="2188"/>
        <n v="820"/>
        <n v="3280"/>
        <n v="10695"/>
        <n v="20912"/>
        <n v="7362"/>
        <n v="12312"/>
        <n v="2870"/>
        <n v="7392"/>
        <n v="5964"/>
        <n v="20106"/>
        <n v="27560"/>
        <n v="4000"/>
        <n v="17265"/>
        <n v="9204"/>
        <n v="18036"/>
        <n v="1424"/>
        <n v="5157"/>
        <n v="10192"/>
        <n v="18080"/>
        <n v="13410"/>
        <n v="14092"/>
        <n v="8281"/>
        <n v="14790"/>
        <n v="19600"/>
        <n v="6720"/>
        <n v="10142"/>
        <n v="5015"/>
        <n v="16398"/>
        <n v="6665"/>
        <n v="10647"/>
        <n v="13140"/>
        <n v="3597"/>
        <n v="7592"/>
        <n v="1312"/>
        <n v="700"/>
        <n v="8256"/>
        <n v="11728"/>
        <n v="9100"/>
        <n v="1989"/>
        <n v="6768"/>
        <n v="17744"/>
        <n v="950"/>
        <n v="4024"/>
        <n v="5264"/>
        <n v="10341"/>
        <n v="8058"/>
        <n v="3783"/>
        <n v="5912"/>
        <n v="13926"/>
        <n v="1614"/>
        <n v="9604"/>
        <n v="4060"/>
        <n v="17394"/>
        <n v="3927"/>
        <n v="10808"/>
        <n v="3064"/>
        <n v="18032"/>
        <n v="5676"/>
        <n v="6909"/>
        <n v="11480"/>
        <n v="2048"/>
        <n v="14762"/>
        <n v="10656"/>
        <n v="10350"/>
        <n v="17268"/>
        <n v="6912"/>
        <n v="10325"/>
        <n v="5369"/>
        <n v="2530"/>
        <n v="6370"/>
        <n v="17374"/>
        <n v="4374"/>
        <n v="8928"/>
        <n v="3545"/>
        <n v="8832"/>
        <n v="11638"/>
        <n v="10336"/>
        <n v="8993"/>
        <n v="4330"/>
        <n v="2730"/>
        <n v="10480"/>
        <n v="6477"/>
        <n v="1362"/>
        <n v="8710"/>
        <n v="25211"/>
        <n v="2856"/>
        <n v="3312"/>
        <n v="5338"/>
        <n v="342"/>
        <n v="5828"/>
      </sharedItems>
    </cacheField>
    <cacheField name="Customer_Rating" numFmtId="0">
      <sharedItems containsSemiMixedTypes="0" containsString="0" containsNumber="1" minValue="3" maxValue="5"/>
    </cacheField>
    <cacheField name="Payment_Method" numFmtId="0">
      <sharedItems/>
    </cacheField>
    <cacheField name="Sale_Month" numFmtId="0">
      <sharedItems containsSemiMixedTypes="0" containsString="0" containsNumber="1" containsInteger="1" minValue="1" maxValue="12" count="12">
        <n v="11"/>
        <n v="2"/>
        <n v="6"/>
        <n v="1"/>
        <n v="8"/>
        <n v="3"/>
        <n v="9"/>
        <n v="10"/>
        <n v="12"/>
        <n v="7"/>
        <n v="5"/>
        <n v="4"/>
      </sharedItems>
    </cacheField>
    <cacheField name="Month" numFmtId="0">
      <sharedItems count="12">
        <s v="November"/>
        <s v="February"/>
        <s v="June"/>
        <s v="January"/>
        <s v="August"/>
        <s v="March"/>
        <s v="September"/>
        <s v="October"/>
        <s v="December"/>
        <s v="July"/>
        <s v="May"/>
        <s v="April"/>
      </sharedItems>
    </cacheField>
    <cacheField name="Sale_Year" numFmtId="0">
      <sharedItems containsSemiMixedTypes="0" containsString="0" containsNumber="1" containsInteger="1" minValue="2025" maxValue="2025" count="1">
        <n v="2025"/>
      </sharedItems>
    </cacheField>
    <cacheField name="Cost" numFmtId="0">
      <sharedItems containsSemiMixedTypes="0" containsString="0" containsNumber="1" minValue="211.39999999999998" maxValue="20762"/>
    </cacheField>
    <cacheField name="Profit" numFmtId="0">
      <sharedItems containsSemiMixedTypes="0" containsString="0" containsNumber="1" minValue="90.600000000000023" maxValue="889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n v="1"/>
    <x v="0"/>
    <x v="0"/>
    <x v="0"/>
    <s v="512GB"/>
    <s v="Gold"/>
    <x v="0"/>
    <x v="0"/>
    <x v="0"/>
    <n v="3.7"/>
    <s v="Installments"/>
    <x v="0"/>
    <x v="0"/>
    <x v="0"/>
    <n v="9184"/>
    <n v="3936"/>
  </r>
  <r>
    <n v="2"/>
    <x v="1"/>
    <x v="1"/>
    <x v="1"/>
    <s v="512GB"/>
    <s v="Blue"/>
    <x v="1"/>
    <x v="1"/>
    <x v="1"/>
    <n v="3.7"/>
    <s v="Debit Card"/>
    <x v="1"/>
    <x v="1"/>
    <x v="0"/>
    <n v="6381.9"/>
    <n v="2735.1000000000004"/>
  </r>
  <r>
    <n v="3"/>
    <x v="2"/>
    <x v="2"/>
    <x v="2"/>
    <s v="512GB"/>
    <s v="White"/>
    <x v="2"/>
    <x v="2"/>
    <x v="2"/>
    <n v="3.1"/>
    <s v="Credit Card"/>
    <x v="1"/>
    <x v="1"/>
    <x v="0"/>
    <n v="7207.9"/>
    <n v="3089.1000000000004"/>
  </r>
  <r>
    <n v="4"/>
    <x v="1"/>
    <x v="3"/>
    <x v="3"/>
    <s v="512GB"/>
    <s v="Gold"/>
    <x v="3"/>
    <x v="3"/>
    <x v="3"/>
    <n v="3.6"/>
    <s v="Debit Card"/>
    <x v="2"/>
    <x v="2"/>
    <x v="0"/>
    <n v="16225.999999999998"/>
    <n v="6954.0000000000018"/>
  </r>
  <r>
    <n v="5"/>
    <x v="1"/>
    <x v="4"/>
    <x v="4"/>
    <s v="128GB"/>
    <s v="Silver"/>
    <x v="4"/>
    <x v="4"/>
    <x v="4"/>
    <n v="4.4000000000000004"/>
    <s v="Online Payment"/>
    <x v="3"/>
    <x v="3"/>
    <x v="0"/>
    <n v="2100"/>
    <n v="900"/>
  </r>
  <r>
    <n v="6"/>
    <x v="3"/>
    <x v="5"/>
    <x v="5"/>
    <s v="128GB"/>
    <s v="Blue"/>
    <x v="5"/>
    <x v="5"/>
    <x v="5"/>
    <n v="3.8"/>
    <s v="Installments"/>
    <x v="0"/>
    <x v="0"/>
    <x v="0"/>
    <n v="11854.5"/>
    <n v="5080.5"/>
  </r>
  <r>
    <n v="7"/>
    <x v="2"/>
    <x v="2"/>
    <x v="1"/>
    <s v="128GB"/>
    <s v="Green"/>
    <x v="6"/>
    <x v="0"/>
    <x v="6"/>
    <n v="3.2"/>
    <s v="Installments"/>
    <x v="4"/>
    <x v="4"/>
    <x v="0"/>
    <n v="16253.999999999998"/>
    <n v="6966.0000000000018"/>
  </r>
  <r>
    <n v="8"/>
    <x v="4"/>
    <x v="6"/>
    <x v="6"/>
    <s v="256GB"/>
    <s v="Gold"/>
    <x v="7"/>
    <x v="6"/>
    <x v="7"/>
    <n v="4.2"/>
    <s v="Credit Card"/>
    <x v="1"/>
    <x v="1"/>
    <x v="0"/>
    <n v="3502.7999999999997"/>
    <n v="1501.2000000000003"/>
  </r>
  <r>
    <n v="9"/>
    <x v="5"/>
    <x v="7"/>
    <x v="2"/>
    <s v="128GB"/>
    <s v="Gold"/>
    <x v="8"/>
    <x v="7"/>
    <x v="8"/>
    <n v="3.5"/>
    <s v="Debit Card"/>
    <x v="5"/>
    <x v="5"/>
    <x v="0"/>
    <n v="1386"/>
    <n v="594"/>
  </r>
  <r>
    <n v="10"/>
    <x v="4"/>
    <x v="8"/>
    <x v="0"/>
    <s v="512GB"/>
    <s v="Gold"/>
    <x v="9"/>
    <x v="8"/>
    <x v="9"/>
    <n v="4.8"/>
    <s v="Cash"/>
    <x v="5"/>
    <x v="5"/>
    <x v="0"/>
    <n v="1289.3999999999999"/>
    <n v="552.60000000000014"/>
  </r>
  <r>
    <n v="11"/>
    <x v="0"/>
    <x v="9"/>
    <x v="5"/>
    <s v="512GB"/>
    <s v="Green"/>
    <x v="10"/>
    <x v="9"/>
    <x v="10"/>
    <n v="3.3"/>
    <s v="Cash"/>
    <x v="6"/>
    <x v="6"/>
    <x v="0"/>
    <n v="1952.9999999999998"/>
    <n v="837.00000000000023"/>
  </r>
  <r>
    <n v="12"/>
    <x v="3"/>
    <x v="10"/>
    <x v="4"/>
    <s v="64GB"/>
    <s v="Silver"/>
    <x v="11"/>
    <x v="10"/>
    <x v="11"/>
    <n v="3.1"/>
    <s v="Cash"/>
    <x v="7"/>
    <x v="7"/>
    <x v="0"/>
    <n v="9339.4"/>
    <n v="4002.6000000000004"/>
  </r>
  <r>
    <n v="13"/>
    <x v="5"/>
    <x v="11"/>
    <x v="5"/>
    <s v="64GB"/>
    <s v="Silver"/>
    <x v="12"/>
    <x v="5"/>
    <x v="12"/>
    <n v="3.7"/>
    <s v="Credit Card"/>
    <x v="8"/>
    <x v="8"/>
    <x v="0"/>
    <n v="5680.5"/>
    <n v="2434.5"/>
  </r>
  <r>
    <n v="14"/>
    <x v="0"/>
    <x v="12"/>
    <x v="4"/>
    <s v="512GB"/>
    <s v="White"/>
    <x v="13"/>
    <x v="0"/>
    <x v="13"/>
    <n v="4.0999999999999996"/>
    <s v="Debit Card"/>
    <x v="6"/>
    <x v="6"/>
    <x v="0"/>
    <n v="6664"/>
    <n v="2856"/>
  </r>
  <r>
    <n v="15"/>
    <x v="3"/>
    <x v="5"/>
    <x v="1"/>
    <s v="256GB"/>
    <s v="Blue"/>
    <x v="14"/>
    <x v="5"/>
    <x v="14"/>
    <n v="3.9"/>
    <s v="Cash"/>
    <x v="2"/>
    <x v="2"/>
    <x v="0"/>
    <n v="11382"/>
    <n v="4878"/>
  </r>
  <r>
    <n v="16"/>
    <x v="5"/>
    <x v="13"/>
    <x v="1"/>
    <s v="256GB"/>
    <s v="Blue"/>
    <x v="15"/>
    <x v="11"/>
    <x v="15"/>
    <n v="3.6"/>
    <s v="Credit Card"/>
    <x v="9"/>
    <x v="9"/>
    <x v="0"/>
    <n v="12411"/>
    <n v="5319"/>
  </r>
  <r>
    <n v="17"/>
    <x v="3"/>
    <x v="14"/>
    <x v="1"/>
    <s v="64GB"/>
    <s v="Green"/>
    <x v="16"/>
    <x v="7"/>
    <x v="16"/>
    <n v="4.8"/>
    <s v="Online Payment"/>
    <x v="10"/>
    <x v="10"/>
    <x v="0"/>
    <n v="1945.9999999999998"/>
    <n v="834.00000000000023"/>
  </r>
  <r>
    <n v="18"/>
    <x v="6"/>
    <x v="15"/>
    <x v="7"/>
    <s v="128GB"/>
    <s v="Gold"/>
    <x v="17"/>
    <x v="12"/>
    <x v="17"/>
    <n v="4.5999999999999996"/>
    <s v="Installments"/>
    <x v="8"/>
    <x v="8"/>
    <x v="0"/>
    <n v="3751.9999999999995"/>
    <n v="1608.0000000000005"/>
  </r>
  <r>
    <n v="19"/>
    <x v="7"/>
    <x v="16"/>
    <x v="8"/>
    <s v="512GB"/>
    <s v="White"/>
    <x v="18"/>
    <x v="5"/>
    <x v="18"/>
    <n v="3.1"/>
    <s v="Online Payment"/>
    <x v="9"/>
    <x v="9"/>
    <x v="0"/>
    <n v="12138"/>
    <n v="5202"/>
  </r>
  <r>
    <n v="20"/>
    <x v="4"/>
    <x v="17"/>
    <x v="5"/>
    <s v="64GB"/>
    <s v="Blue"/>
    <x v="19"/>
    <x v="13"/>
    <x v="19"/>
    <n v="4.4000000000000004"/>
    <s v="Cash"/>
    <x v="8"/>
    <x v="8"/>
    <x v="0"/>
    <n v="10318"/>
    <n v="4422"/>
  </r>
  <r>
    <n v="21"/>
    <x v="7"/>
    <x v="18"/>
    <x v="6"/>
    <s v="512GB"/>
    <s v="Black"/>
    <x v="20"/>
    <x v="10"/>
    <x v="20"/>
    <n v="4.8"/>
    <s v="Installments"/>
    <x v="1"/>
    <x v="1"/>
    <x v="0"/>
    <n v="4508"/>
    <n v="1932"/>
  </r>
  <r>
    <n v="22"/>
    <x v="8"/>
    <x v="19"/>
    <x v="3"/>
    <s v="64GB"/>
    <s v="White"/>
    <x v="21"/>
    <x v="4"/>
    <x v="21"/>
    <n v="3.1"/>
    <s v="Cash"/>
    <x v="3"/>
    <x v="3"/>
    <x v="0"/>
    <n v="3589.6"/>
    <n v="1538.4"/>
  </r>
  <r>
    <n v="23"/>
    <x v="8"/>
    <x v="20"/>
    <x v="6"/>
    <s v="512GB"/>
    <s v="Black"/>
    <x v="22"/>
    <x v="10"/>
    <x v="22"/>
    <n v="3.6"/>
    <s v="Cash"/>
    <x v="6"/>
    <x v="6"/>
    <x v="0"/>
    <n v="7320.5999999999995"/>
    <n v="3137.4000000000005"/>
  </r>
  <r>
    <n v="24"/>
    <x v="6"/>
    <x v="21"/>
    <x v="5"/>
    <s v="512GB"/>
    <s v="Silver"/>
    <x v="23"/>
    <x v="14"/>
    <x v="23"/>
    <n v="4.5"/>
    <s v="Debit Card"/>
    <x v="5"/>
    <x v="5"/>
    <x v="0"/>
    <n v="5469.0999999999995"/>
    <n v="2343.9000000000005"/>
  </r>
  <r>
    <n v="25"/>
    <x v="6"/>
    <x v="22"/>
    <x v="7"/>
    <s v="64GB"/>
    <s v="Silver"/>
    <x v="24"/>
    <x v="15"/>
    <x v="24"/>
    <n v="4.4000000000000004"/>
    <s v="Online Payment"/>
    <x v="8"/>
    <x v="8"/>
    <x v="0"/>
    <n v="3049.2"/>
    <n v="1306.8000000000002"/>
  </r>
  <r>
    <n v="26"/>
    <x v="9"/>
    <x v="23"/>
    <x v="5"/>
    <s v="64GB"/>
    <s v="White"/>
    <x v="25"/>
    <x v="13"/>
    <x v="25"/>
    <n v="3.7"/>
    <s v="Credit Card"/>
    <x v="4"/>
    <x v="4"/>
    <x v="0"/>
    <n v="7223.9999999999991"/>
    <n v="3096.0000000000009"/>
  </r>
  <r>
    <n v="27"/>
    <x v="9"/>
    <x v="24"/>
    <x v="7"/>
    <s v="256GB"/>
    <s v="White"/>
    <x v="26"/>
    <x v="8"/>
    <x v="26"/>
    <n v="3.4"/>
    <s v="Installments"/>
    <x v="5"/>
    <x v="5"/>
    <x v="0"/>
    <n v="854"/>
    <n v="366"/>
  </r>
  <r>
    <n v="28"/>
    <x v="4"/>
    <x v="6"/>
    <x v="0"/>
    <s v="256GB"/>
    <s v="Green"/>
    <x v="27"/>
    <x v="15"/>
    <x v="27"/>
    <n v="4.5"/>
    <s v="Credit Card"/>
    <x v="8"/>
    <x v="8"/>
    <x v="0"/>
    <n v="5859"/>
    <n v="2511"/>
  </r>
  <r>
    <n v="29"/>
    <x v="0"/>
    <x v="0"/>
    <x v="6"/>
    <s v="256GB"/>
    <s v="Black"/>
    <x v="28"/>
    <x v="5"/>
    <x v="28"/>
    <n v="3.1"/>
    <s v="Online Payment"/>
    <x v="0"/>
    <x v="0"/>
    <x v="0"/>
    <n v="13335"/>
    <n v="5715"/>
  </r>
  <r>
    <n v="30"/>
    <x v="0"/>
    <x v="0"/>
    <x v="7"/>
    <s v="128GB"/>
    <s v="Silver"/>
    <x v="29"/>
    <x v="7"/>
    <x v="29"/>
    <n v="4.4000000000000004"/>
    <s v="Installments"/>
    <x v="3"/>
    <x v="3"/>
    <x v="0"/>
    <n v="1380.3999999999999"/>
    <n v="591.60000000000014"/>
  </r>
  <r>
    <n v="31"/>
    <x v="1"/>
    <x v="25"/>
    <x v="5"/>
    <s v="256GB"/>
    <s v="Silver"/>
    <x v="30"/>
    <x v="5"/>
    <x v="30"/>
    <n v="4.0999999999999996"/>
    <s v="Installments"/>
    <x v="1"/>
    <x v="1"/>
    <x v="0"/>
    <n v="12348"/>
    <n v="5292"/>
  </r>
  <r>
    <n v="32"/>
    <x v="9"/>
    <x v="26"/>
    <x v="5"/>
    <s v="256GB"/>
    <s v="Silver"/>
    <x v="31"/>
    <x v="9"/>
    <x v="31"/>
    <n v="3.6"/>
    <s v="Credit Card"/>
    <x v="0"/>
    <x v="0"/>
    <x v="0"/>
    <n v="1075.1999999999998"/>
    <n v="460.80000000000018"/>
  </r>
  <r>
    <n v="33"/>
    <x v="4"/>
    <x v="27"/>
    <x v="5"/>
    <s v="256GB"/>
    <s v="White"/>
    <x v="32"/>
    <x v="6"/>
    <x v="32"/>
    <n v="4.5999999999999996"/>
    <s v="Debit Card"/>
    <x v="5"/>
    <x v="5"/>
    <x v="0"/>
    <n v="6862.7999999999993"/>
    <n v="2941.2000000000007"/>
  </r>
  <r>
    <n v="34"/>
    <x v="0"/>
    <x v="28"/>
    <x v="9"/>
    <s v="256GB"/>
    <s v="Gold"/>
    <x v="29"/>
    <x v="6"/>
    <x v="33"/>
    <n v="3.2"/>
    <s v="Debit Card"/>
    <x v="0"/>
    <x v="0"/>
    <x v="0"/>
    <n v="4141.2"/>
    <n v="1774.8000000000002"/>
  </r>
  <r>
    <n v="35"/>
    <x v="2"/>
    <x v="29"/>
    <x v="5"/>
    <s v="64GB"/>
    <s v="Green"/>
    <x v="33"/>
    <x v="16"/>
    <x v="34"/>
    <n v="3.1"/>
    <s v="Debit Card"/>
    <x v="4"/>
    <x v="4"/>
    <x v="0"/>
    <n v="641.19999999999993"/>
    <n v="274.80000000000007"/>
  </r>
  <r>
    <n v="36"/>
    <x v="8"/>
    <x v="19"/>
    <x v="9"/>
    <s v="128GB"/>
    <s v="Green"/>
    <x v="34"/>
    <x v="7"/>
    <x v="35"/>
    <n v="4.8"/>
    <s v="Installments"/>
    <x v="6"/>
    <x v="6"/>
    <x v="0"/>
    <n v="3410.3999999999996"/>
    <n v="1461.6000000000004"/>
  </r>
  <r>
    <n v="37"/>
    <x v="1"/>
    <x v="30"/>
    <x v="8"/>
    <s v="128GB"/>
    <s v="Blue"/>
    <x v="35"/>
    <x v="16"/>
    <x v="36"/>
    <n v="3.7"/>
    <s v="Online Payment"/>
    <x v="2"/>
    <x v="2"/>
    <x v="0"/>
    <n v="726.59999999999991"/>
    <n v="311.40000000000009"/>
  </r>
  <r>
    <n v="38"/>
    <x v="5"/>
    <x v="31"/>
    <x v="1"/>
    <s v="128GB"/>
    <s v="Black"/>
    <x v="36"/>
    <x v="0"/>
    <x v="37"/>
    <n v="4.5999999999999996"/>
    <s v="Cash"/>
    <x v="5"/>
    <x v="5"/>
    <x v="0"/>
    <n v="12026"/>
    <n v="5154"/>
  </r>
  <r>
    <n v="39"/>
    <x v="0"/>
    <x v="32"/>
    <x v="7"/>
    <s v="256GB"/>
    <s v="White"/>
    <x v="37"/>
    <x v="15"/>
    <x v="38"/>
    <n v="4.5"/>
    <s v="Debit Card"/>
    <x v="1"/>
    <x v="1"/>
    <x v="0"/>
    <n v="2973.6"/>
    <n v="1274.4000000000001"/>
  </r>
  <r>
    <n v="40"/>
    <x v="6"/>
    <x v="33"/>
    <x v="9"/>
    <s v="512GB"/>
    <s v="Gold"/>
    <x v="38"/>
    <x v="11"/>
    <x v="39"/>
    <n v="3.2"/>
    <s v="Credit Card"/>
    <x v="1"/>
    <x v="1"/>
    <x v="0"/>
    <n v="6993"/>
    <n v="2997"/>
  </r>
  <r>
    <n v="41"/>
    <x v="3"/>
    <x v="34"/>
    <x v="9"/>
    <s v="128GB"/>
    <s v="White"/>
    <x v="39"/>
    <x v="8"/>
    <x v="40"/>
    <n v="3"/>
    <s v="Online Payment"/>
    <x v="8"/>
    <x v="8"/>
    <x v="0"/>
    <n v="1660.3999999999999"/>
    <n v="711.60000000000014"/>
  </r>
  <r>
    <n v="42"/>
    <x v="9"/>
    <x v="35"/>
    <x v="4"/>
    <s v="512GB"/>
    <s v="Black"/>
    <x v="40"/>
    <x v="13"/>
    <x v="41"/>
    <n v="4.7"/>
    <s v="Installments"/>
    <x v="5"/>
    <x v="5"/>
    <x v="0"/>
    <n v="5208"/>
    <n v="2232"/>
  </r>
  <r>
    <n v="43"/>
    <x v="6"/>
    <x v="36"/>
    <x v="3"/>
    <s v="64GB"/>
    <s v="Black"/>
    <x v="41"/>
    <x v="6"/>
    <x v="42"/>
    <n v="4.5"/>
    <s v="Cash"/>
    <x v="1"/>
    <x v="1"/>
    <x v="0"/>
    <n v="9676.7999999999993"/>
    <n v="4147.2000000000007"/>
  </r>
  <r>
    <n v="44"/>
    <x v="0"/>
    <x v="37"/>
    <x v="7"/>
    <s v="256GB"/>
    <s v="Green"/>
    <x v="42"/>
    <x v="15"/>
    <x v="43"/>
    <n v="4.5999999999999996"/>
    <s v="Cash"/>
    <x v="8"/>
    <x v="8"/>
    <x v="0"/>
    <n v="5308.7999999999993"/>
    <n v="2275.2000000000007"/>
  </r>
  <r>
    <n v="45"/>
    <x v="3"/>
    <x v="38"/>
    <x v="5"/>
    <s v="128GB"/>
    <s v="Blue"/>
    <x v="43"/>
    <x v="13"/>
    <x v="44"/>
    <n v="4.5"/>
    <s v="Credit Card"/>
    <x v="3"/>
    <x v="3"/>
    <x v="0"/>
    <n v="2142"/>
    <n v="918"/>
  </r>
  <r>
    <n v="46"/>
    <x v="0"/>
    <x v="39"/>
    <x v="6"/>
    <s v="128GB"/>
    <s v="Blue"/>
    <x v="44"/>
    <x v="17"/>
    <x v="45"/>
    <n v="4.7"/>
    <s v="Installments"/>
    <x v="8"/>
    <x v="8"/>
    <x v="0"/>
    <n v="14000"/>
    <n v="6000"/>
  </r>
  <r>
    <n v="47"/>
    <x v="9"/>
    <x v="23"/>
    <x v="8"/>
    <s v="256GB"/>
    <s v="Black"/>
    <x v="45"/>
    <x v="2"/>
    <x v="46"/>
    <n v="3.3"/>
    <s v="Online Payment"/>
    <x v="9"/>
    <x v="9"/>
    <x v="0"/>
    <n v="2744"/>
    <n v="1176"/>
  </r>
  <r>
    <n v="48"/>
    <x v="1"/>
    <x v="40"/>
    <x v="3"/>
    <s v="512GB"/>
    <s v="Black"/>
    <x v="46"/>
    <x v="7"/>
    <x v="47"/>
    <n v="4.7"/>
    <s v="Debit Card"/>
    <x v="6"/>
    <x v="6"/>
    <x v="0"/>
    <n v="1973.9999999999998"/>
    <n v="846.00000000000023"/>
  </r>
  <r>
    <n v="49"/>
    <x v="3"/>
    <x v="41"/>
    <x v="2"/>
    <s v="256GB"/>
    <s v="White"/>
    <x v="47"/>
    <x v="16"/>
    <x v="48"/>
    <n v="3.6"/>
    <s v="Installments"/>
    <x v="3"/>
    <x v="3"/>
    <x v="0"/>
    <n v="634.9"/>
    <n v="272.10000000000002"/>
  </r>
  <r>
    <n v="50"/>
    <x v="7"/>
    <x v="42"/>
    <x v="2"/>
    <s v="512GB"/>
    <s v="Silver"/>
    <x v="48"/>
    <x v="4"/>
    <x v="49"/>
    <n v="4"/>
    <s v="Credit Card"/>
    <x v="9"/>
    <x v="9"/>
    <x v="0"/>
    <n v="1758.3999999999999"/>
    <n v="753.60000000000014"/>
  </r>
  <r>
    <n v="51"/>
    <x v="8"/>
    <x v="43"/>
    <x v="5"/>
    <s v="512GB"/>
    <s v="Blue"/>
    <x v="49"/>
    <x v="3"/>
    <x v="50"/>
    <n v="4.2"/>
    <s v="Cash"/>
    <x v="9"/>
    <x v="9"/>
    <x v="0"/>
    <n v="16997.399999999998"/>
    <n v="7284.6000000000022"/>
  </r>
  <r>
    <n v="52"/>
    <x v="0"/>
    <x v="44"/>
    <x v="1"/>
    <s v="512GB"/>
    <s v="Gold"/>
    <x v="16"/>
    <x v="0"/>
    <x v="51"/>
    <n v="5"/>
    <s v="Online Payment"/>
    <x v="2"/>
    <x v="2"/>
    <x v="0"/>
    <n v="9730"/>
    <n v="4170"/>
  </r>
  <r>
    <n v="53"/>
    <x v="2"/>
    <x v="45"/>
    <x v="4"/>
    <s v="512GB"/>
    <s v="Blue"/>
    <x v="50"/>
    <x v="11"/>
    <x v="52"/>
    <n v="4.2"/>
    <s v="Debit Card"/>
    <x v="9"/>
    <x v="9"/>
    <x v="0"/>
    <n v="16379.999999999998"/>
    <n v="7020.0000000000018"/>
  </r>
  <r>
    <n v="54"/>
    <x v="4"/>
    <x v="46"/>
    <x v="0"/>
    <s v="512GB"/>
    <s v="Silver"/>
    <x v="51"/>
    <x v="16"/>
    <x v="53"/>
    <n v="4.0999999999999996"/>
    <s v="Installments"/>
    <x v="9"/>
    <x v="9"/>
    <x v="0"/>
    <n v="986.3"/>
    <n v="422.70000000000005"/>
  </r>
  <r>
    <n v="55"/>
    <x v="4"/>
    <x v="47"/>
    <x v="6"/>
    <s v="512GB"/>
    <s v="Black"/>
    <x v="52"/>
    <x v="18"/>
    <x v="54"/>
    <n v="3.8"/>
    <s v="Online Payment"/>
    <x v="7"/>
    <x v="7"/>
    <x v="0"/>
    <n v="8924.2999999999993"/>
    <n v="3824.7000000000007"/>
  </r>
  <r>
    <n v="56"/>
    <x v="9"/>
    <x v="48"/>
    <x v="9"/>
    <s v="256GB"/>
    <s v="Silver"/>
    <x v="53"/>
    <x v="19"/>
    <x v="55"/>
    <n v="4"/>
    <s v="Installments"/>
    <x v="5"/>
    <x v="5"/>
    <x v="0"/>
    <n v="17719.099999999999"/>
    <n v="7593.9000000000015"/>
  </r>
  <r>
    <n v="57"/>
    <x v="9"/>
    <x v="24"/>
    <x v="3"/>
    <s v="64GB"/>
    <s v="Black"/>
    <x v="54"/>
    <x v="15"/>
    <x v="56"/>
    <n v="3.8"/>
    <s v="Credit Card"/>
    <x v="8"/>
    <x v="8"/>
    <x v="0"/>
    <n v="2083.1999999999998"/>
    <n v="892.80000000000018"/>
  </r>
  <r>
    <n v="58"/>
    <x v="6"/>
    <x v="49"/>
    <x v="9"/>
    <s v="128GB"/>
    <s v="Green"/>
    <x v="55"/>
    <x v="10"/>
    <x v="57"/>
    <n v="4.5999999999999996"/>
    <s v="Online Payment"/>
    <x v="7"/>
    <x v="7"/>
    <x v="0"/>
    <n v="10799.599999999999"/>
    <n v="4628.4000000000015"/>
  </r>
  <r>
    <n v="59"/>
    <x v="9"/>
    <x v="50"/>
    <x v="8"/>
    <s v="256GB"/>
    <s v="Green"/>
    <x v="56"/>
    <x v="2"/>
    <x v="58"/>
    <n v="3.4"/>
    <s v="Debit Card"/>
    <x v="11"/>
    <x v="11"/>
    <x v="0"/>
    <n v="2356.8999999999996"/>
    <n v="1010.1000000000004"/>
  </r>
  <r>
    <n v="60"/>
    <x v="6"/>
    <x v="36"/>
    <x v="8"/>
    <s v="64GB"/>
    <s v="Black"/>
    <x v="57"/>
    <x v="16"/>
    <x v="59"/>
    <n v="3.2"/>
    <s v="Cash"/>
    <x v="0"/>
    <x v="0"/>
    <x v="0"/>
    <n v="331.09999999999997"/>
    <n v="141.90000000000003"/>
  </r>
  <r>
    <n v="61"/>
    <x v="9"/>
    <x v="51"/>
    <x v="3"/>
    <s v="512GB"/>
    <s v="Gold"/>
    <x v="58"/>
    <x v="0"/>
    <x v="60"/>
    <n v="3.1"/>
    <s v="Debit Card"/>
    <x v="5"/>
    <x v="5"/>
    <x v="0"/>
    <n v="9352"/>
    <n v="4008"/>
  </r>
  <r>
    <n v="62"/>
    <x v="6"/>
    <x v="52"/>
    <x v="3"/>
    <s v="128GB"/>
    <s v="Gold"/>
    <x v="59"/>
    <x v="17"/>
    <x v="61"/>
    <n v="4"/>
    <s v="Installments"/>
    <x v="3"/>
    <x v="3"/>
    <x v="0"/>
    <n v="14839.999999999998"/>
    <n v="6360.0000000000018"/>
  </r>
  <r>
    <n v="63"/>
    <x v="9"/>
    <x v="26"/>
    <x v="4"/>
    <s v="512GB"/>
    <s v="Black"/>
    <x v="60"/>
    <x v="5"/>
    <x v="62"/>
    <n v="4.9000000000000004"/>
    <s v="Credit Card"/>
    <x v="2"/>
    <x v="2"/>
    <x v="0"/>
    <n v="4494"/>
    <n v="1926"/>
  </r>
  <r>
    <n v="64"/>
    <x v="0"/>
    <x v="9"/>
    <x v="2"/>
    <s v="128GB"/>
    <s v="Gold"/>
    <x v="61"/>
    <x v="2"/>
    <x v="63"/>
    <n v="4.8"/>
    <s v="Credit Card"/>
    <x v="4"/>
    <x v="4"/>
    <x v="0"/>
    <n v="2778.2999999999997"/>
    <n v="1190.7000000000003"/>
  </r>
  <r>
    <n v="65"/>
    <x v="5"/>
    <x v="53"/>
    <x v="8"/>
    <s v="64GB"/>
    <s v="Black"/>
    <x v="62"/>
    <x v="10"/>
    <x v="64"/>
    <n v="3.9"/>
    <s v="Credit Card"/>
    <x v="0"/>
    <x v="0"/>
    <x v="0"/>
    <n v="9535.4"/>
    <n v="4086.6000000000004"/>
  </r>
  <r>
    <n v="66"/>
    <x v="8"/>
    <x v="54"/>
    <x v="1"/>
    <s v="256GB"/>
    <s v="Green"/>
    <x v="20"/>
    <x v="11"/>
    <x v="65"/>
    <n v="4.3"/>
    <s v="Debit Card"/>
    <x v="5"/>
    <x v="5"/>
    <x v="0"/>
    <n v="5796"/>
    <n v="2484"/>
  </r>
  <r>
    <n v="67"/>
    <x v="5"/>
    <x v="55"/>
    <x v="5"/>
    <s v="256GB"/>
    <s v="Gold"/>
    <x v="63"/>
    <x v="8"/>
    <x v="66"/>
    <n v="3.3"/>
    <s v="Debit Card"/>
    <x v="6"/>
    <x v="6"/>
    <x v="0"/>
    <n v="2018.8"/>
    <n v="865.2"/>
  </r>
  <r>
    <n v="68"/>
    <x v="9"/>
    <x v="56"/>
    <x v="7"/>
    <s v="512GB"/>
    <s v="Green"/>
    <x v="64"/>
    <x v="7"/>
    <x v="67"/>
    <n v="4.8"/>
    <s v="Debit Card"/>
    <x v="0"/>
    <x v="0"/>
    <x v="0"/>
    <n v="3477.6"/>
    <n v="1490.4"/>
  </r>
  <r>
    <n v="69"/>
    <x v="9"/>
    <x v="57"/>
    <x v="6"/>
    <s v="512GB"/>
    <s v="Gold"/>
    <x v="65"/>
    <x v="4"/>
    <x v="68"/>
    <n v="4.2"/>
    <s v="Online Payment"/>
    <x v="9"/>
    <x v="9"/>
    <x v="0"/>
    <n v="4463.2"/>
    <n v="1912.8000000000002"/>
  </r>
  <r>
    <n v="70"/>
    <x v="4"/>
    <x v="58"/>
    <x v="9"/>
    <s v="256GB"/>
    <s v="Gold"/>
    <x v="66"/>
    <x v="1"/>
    <x v="69"/>
    <n v="4.9000000000000004"/>
    <s v="Cash"/>
    <x v="6"/>
    <x v="6"/>
    <x v="0"/>
    <n v="6659.0999999999995"/>
    <n v="2853.9000000000005"/>
  </r>
  <r>
    <n v="71"/>
    <x v="6"/>
    <x v="36"/>
    <x v="6"/>
    <s v="512GB"/>
    <s v="Green"/>
    <x v="67"/>
    <x v="8"/>
    <x v="70"/>
    <n v="4.7"/>
    <s v="Cash"/>
    <x v="6"/>
    <x v="6"/>
    <x v="0"/>
    <n v="1472.8"/>
    <n v="631.20000000000005"/>
  </r>
  <r>
    <n v="72"/>
    <x v="0"/>
    <x v="59"/>
    <x v="1"/>
    <s v="256GB"/>
    <s v="Silver"/>
    <x v="68"/>
    <x v="0"/>
    <x v="71"/>
    <n v="4.5"/>
    <s v="Cash"/>
    <x v="7"/>
    <x v="7"/>
    <x v="0"/>
    <n v="7475.9999999999991"/>
    <n v="3204.0000000000009"/>
  </r>
  <r>
    <n v="73"/>
    <x v="4"/>
    <x v="58"/>
    <x v="7"/>
    <s v="128GB"/>
    <s v="Green"/>
    <x v="69"/>
    <x v="0"/>
    <x v="72"/>
    <n v="4.9000000000000004"/>
    <s v="Credit Card"/>
    <x v="3"/>
    <x v="3"/>
    <x v="0"/>
    <n v="13874"/>
    <n v="5946"/>
  </r>
  <r>
    <n v="74"/>
    <x v="2"/>
    <x v="45"/>
    <x v="5"/>
    <s v="64GB"/>
    <s v="Blue"/>
    <x v="70"/>
    <x v="2"/>
    <x v="73"/>
    <n v="3.4"/>
    <s v="Online Payment"/>
    <x v="11"/>
    <x v="11"/>
    <x v="0"/>
    <n v="6232.7999999999993"/>
    <n v="2671.2000000000007"/>
  </r>
  <r>
    <n v="75"/>
    <x v="2"/>
    <x v="60"/>
    <x v="0"/>
    <s v="256GB"/>
    <s v="Green"/>
    <x v="71"/>
    <x v="4"/>
    <x v="74"/>
    <n v="4.9000000000000004"/>
    <s v="Credit Card"/>
    <x v="3"/>
    <x v="3"/>
    <x v="0"/>
    <n v="4222.3999999999996"/>
    <n v="1809.6000000000004"/>
  </r>
  <r>
    <n v="76"/>
    <x v="2"/>
    <x v="61"/>
    <x v="6"/>
    <s v="128GB"/>
    <s v="Green"/>
    <x v="72"/>
    <x v="8"/>
    <x v="75"/>
    <n v="3.6"/>
    <s v="Cash"/>
    <x v="0"/>
    <x v="0"/>
    <x v="0"/>
    <n v="468.99999999999994"/>
    <n v="201.00000000000006"/>
  </r>
  <r>
    <n v="77"/>
    <x v="1"/>
    <x v="62"/>
    <x v="5"/>
    <s v="512GB"/>
    <s v="Blue"/>
    <x v="73"/>
    <x v="6"/>
    <x v="76"/>
    <n v="4.4000000000000004"/>
    <s v="Cash"/>
    <x v="8"/>
    <x v="8"/>
    <x v="0"/>
    <n v="5300.4"/>
    <n v="2271.6000000000004"/>
  </r>
  <r>
    <n v="78"/>
    <x v="0"/>
    <x v="37"/>
    <x v="0"/>
    <s v="256GB"/>
    <s v="Blue"/>
    <x v="74"/>
    <x v="2"/>
    <x v="77"/>
    <n v="4.5999999999999996"/>
    <s v="Credit Card"/>
    <x v="1"/>
    <x v="1"/>
    <x v="0"/>
    <n v="4449.2"/>
    <n v="1906.8000000000002"/>
  </r>
  <r>
    <n v="79"/>
    <x v="6"/>
    <x v="63"/>
    <x v="1"/>
    <s v="128GB"/>
    <s v="White"/>
    <x v="75"/>
    <x v="18"/>
    <x v="78"/>
    <n v="4.0999999999999996"/>
    <s v="Online Payment"/>
    <x v="2"/>
    <x v="2"/>
    <x v="0"/>
    <n v="8631.6999999999989"/>
    <n v="3699.3000000000011"/>
  </r>
  <r>
    <n v="80"/>
    <x v="8"/>
    <x v="64"/>
    <x v="4"/>
    <s v="256GB"/>
    <s v="Green"/>
    <x v="76"/>
    <x v="4"/>
    <x v="79"/>
    <n v="4.4000000000000004"/>
    <s v="Online Payment"/>
    <x v="8"/>
    <x v="8"/>
    <x v="0"/>
    <n v="8400"/>
    <n v="3600"/>
  </r>
  <r>
    <n v="81"/>
    <x v="5"/>
    <x v="65"/>
    <x v="9"/>
    <s v="128GB"/>
    <s v="White"/>
    <x v="77"/>
    <x v="7"/>
    <x v="80"/>
    <n v="3.2"/>
    <s v="Online Payment"/>
    <x v="0"/>
    <x v="0"/>
    <x v="0"/>
    <n v="957.59999999999991"/>
    <n v="410.40000000000009"/>
  </r>
  <r>
    <n v="82"/>
    <x v="5"/>
    <x v="66"/>
    <x v="4"/>
    <s v="128GB"/>
    <s v="Green"/>
    <x v="78"/>
    <x v="1"/>
    <x v="81"/>
    <n v="4.5"/>
    <s v="Online Payment"/>
    <x v="4"/>
    <x v="4"/>
    <x v="0"/>
    <n v="8341.1999999999989"/>
    <n v="3574.8000000000011"/>
  </r>
  <r>
    <n v="83"/>
    <x v="4"/>
    <x v="58"/>
    <x v="4"/>
    <s v="64GB"/>
    <s v="Green"/>
    <x v="79"/>
    <x v="13"/>
    <x v="82"/>
    <n v="4.3"/>
    <s v="Installments"/>
    <x v="2"/>
    <x v="2"/>
    <x v="0"/>
    <n v="6888"/>
    <n v="2952"/>
  </r>
  <r>
    <n v="84"/>
    <x v="8"/>
    <x v="67"/>
    <x v="4"/>
    <s v="256GB"/>
    <s v="Gold"/>
    <x v="80"/>
    <x v="15"/>
    <x v="83"/>
    <n v="3.9"/>
    <s v="Cash"/>
    <x v="8"/>
    <x v="8"/>
    <x v="0"/>
    <n v="6123.5999999999995"/>
    <n v="2624.4000000000005"/>
  </r>
  <r>
    <n v="85"/>
    <x v="6"/>
    <x v="68"/>
    <x v="9"/>
    <s v="256GB"/>
    <s v="Black"/>
    <x v="81"/>
    <x v="15"/>
    <x v="84"/>
    <n v="3.2"/>
    <s v="Cash"/>
    <x v="8"/>
    <x v="8"/>
    <x v="0"/>
    <n v="6106.7999999999993"/>
    <n v="2617.2000000000007"/>
  </r>
  <r>
    <n v="86"/>
    <x v="7"/>
    <x v="69"/>
    <x v="8"/>
    <s v="128GB"/>
    <s v="Black"/>
    <x v="82"/>
    <x v="17"/>
    <x v="85"/>
    <n v="4"/>
    <s v="Debit Card"/>
    <x v="11"/>
    <x v="11"/>
    <x v="0"/>
    <n v="12790.4"/>
    <n v="5481.6"/>
  </r>
  <r>
    <n v="87"/>
    <x v="8"/>
    <x v="19"/>
    <x v="4"/>
    <s v="128GB"/>
    <s v="Gold"/>
    <x v="83"/>
    <x v="1"/>
    <x v="86"/>
    <n v="3.6"/>
    <s v="Debit Card"/>
    <x v="10"/>
    <x v="10"/>
    <x v="0"/>
    <n v="5751.9"/>
    <n v="2465.1000000000004"/>
  </r>
  <r>
    <n v="88"/>
    <x v="7"/>
    <x v="70"/>
    <x v="3"/>
    <s v="128GB"/>
    <s v="Blue"/>
    <x v="84"/>
    <x v="1"/>
    <x v="87"/>
    <n v="4.2"/>
    <s v="Installments"/>
    <x v="6"/>
    <x v="6"/>
    <x v="0"/>
    <n v="8284.5"/>
    <n v="3550.5"/>
  </r>
  <r>
    <n v="89"/>
    <x v="5"/>
    <x v="11"/>
    <x v="3"/>
    <s v="512GB"/>
    <s v="Gold"/>
    <x v="85"/>
    <x v="14"/>
    <x v="88"/>
    <n v="3.5"/>
    <s v="Debit Card"/>
    <x v="2"/>
    <x v="2"/>
    <x v="0"/>
    <n v="10619.699999999999"/>
    <n v="4551.3000000000011"/>
  </r>
  <r>
    <n v="90"/>
    <x v="6"/>
    <x v="71"/>
    <x v="4"/>
    <s v="256GB"/>
    <s v="Silver"/>
    <x v="86"/>
    <x v="9"/>
    <x v="89"/>
    <n v="3.4"/>
    <s v="Debit Card"/>
    <x v="10"/>
    <x v="10"/>
    <x v="0"/>
    <n v="2104.1999999999998"/>
    <n v="901.80000000000018"/>
  </r>
  <r>
    <n v="91"/>
    <x v="8"/>
    <x v="54"/>
    <x v="3"/>
    <s v="64GB"/>
    <s v="Gold"/>
    <x v="87"/>
    <x v="17"/>
    <x v="90"/>
    <n v="3.2"/>
    <s v="Debit Card"/>
    <x v="2"/>
    <x v="2"/>
    <x v="0"/>
    <n v="8848"/>
    <n v="3792"/>
  </r>
  <r>
    <n v="92"/>
    <x v="1"/>
    <x v="72"/>
    <x v="3"/>
    <s v="512GB"/>
    <s v="Silver"/>
    <x v="88"/>
    <x v="15"/>
    <x v="91"/>
    <n v="4.7"/>
    <s v="Installments"/>
    <x v="11"/>
    <x v="11"/>
    <x v="0"/>
    <n v="5607"/>
    <n v="2403"/>
  </r>
  <r>
    <n v="93"/>
    <x v="4"/>
    <x v="27"/>
    <x v="2"/>
    <s v="512GB"/>
    <s v="Gold"/>
    <x v="89"/>
    <x v="6"/>
    <x v="92"/>
    <n v="3.6"/>
    <s v="Cash"/>
    <x v="2"/>
    <x v="2"/>
    <x v="0"/>
    <n v="7274.4"/>
    <n v="3117.6000000000004"/>
  </r>
  <r>
    <n v="94"/>
    <x v="9"/>
    <x v="73"/>
    <x v="4"/>
    <s v="128GB"/>
    <s v="Green"/>
    <x v="90"/>
    <x v="16"/>
    <x v="93"/>
    <n v="4.2"/>
    <s v="Online Payment"/>
    <x v="9"/>
    <x v="9"/>
    <x v="0"/>
    <n v="1010.0999999999999"/>
    <n v="432.90000000000009"/>
  </r>
  <r>
    <n v="95"/>
    <x v="0"/>
    <x v="12"/>
    <x v="7"/>
    <s v="512GB"/>
    <s v="Green"/>
    <x v="91"/>
    <x v="19"/>
    <x v="94"/>
    <n v="4.5999999999999996"/>
    <s v="Installments"/>
    <x v="7"/>
    <x v="7"/>
    <x v="0"/>
    <n v="11804.8"/>
    <n v="5059.2000000000007"/>
  </r>
  <r>
    <n v="96"/>
    <x v="1"/>
    <x v="74"/>
    <x v="7"/>
    <s v="256GB"/>
    <s v="Blue"/>
    <x v="92"/>
    <x v="17"/>
    <x v="95"/>
    <n v="4.8"/>
    <s v="Credit Card"/>
    <x v="8"/>
    <x v="8"/>
    <x v="0"/>
    <n v="3718.3999999999996"/>
    <n v="1593.6000000000004"/>
  </r>
  <r>
    <n v="97"/>
    <x v="5"/>
    <x v="75"/>
    <x v="7"/>
    <s v="128GB"/>
    <s v="White"/>
    <x v="93"/>
    <x v="6"/>
    <x v="96"/>
    <n v="4.7"/>
    <s v="Installments"/>
    <x v="3"/>
    <x v="3"/>
    <x v="0"/>
    <n v="11608.8"/>
    <n v="4975.2000000000007"/>
  </r>
  <r>
    <n v="98"/>
    <x v="7"/>
    <x v="76"/>
    <x v="3"/>
    <s v="256GB"/>
    <s v="White"/>
    <x v="94"/>
    <x v="0"/>
    <x v="65"/>
    <n v="4.4000000000000004"/>
    <s v="Credit Card"/>
    <x v="11"/>
    <x v="11"/>
    <x v="0"/>
    <n v="5796"/>
    <n v="2484"/>
  </r>
  <r>
    <n v="99"/>
    <x v="9"/>
    <x v="77"/>
    <x v="0"/>
    <s v="512GB"/>
    <s v="Black"/>
    <x v="95"/>
    <x v="6"/>
    <x v="97"/>
    <n v="4.8"/>
    <s v="Cash"/>
    <x v="9"/>
    <x v="9"/>
    <x v="0"/>
    <n v="3217.2"/>
    <n v="1378.8000000000002"/>
  </r>
  <r>
    <n v="100"/>
    <x v="6"/>
    <x v="49"/>
    <x v="4"/>
    <s v="512GB"/>
    <s v="Green"/>
    <x v="96"/>
    <x v="13"/>
    <x v="98"/>
    <n v="3.4"/>
    <s v="Credit Card"/>
    <x v="5"/>
    <x v="5"/>
    <x v="0"/>
    <n v="7839.9999999999991"/>
    <n v="3360.0000000000009"/>
  </r>
  <r>
    <n v="101"/>
    <x v="7"/>
    <x v="16"/>
    <x v="3"/>
    <s v="64GB"/>
    <s v="Black"/>
    <x v="97"/>
    <x v="8"/>
    <x v="99"/>
    <n v="3.9"/>
    <s v="Installments"/>
    <x v="5"/>
    <x v="5"/>
    <x v="0"/>
    <n v="1757"/>
    <n v="753"/>
  </r>
  <r>
    <n v="102"/>
    <x v="6"/>
    <x v="33"/>
    <x v="5"/>
    <s v="256GB"/>
    <s v="Silver"/>
    <x v="98"/>
    <x v="4"/>
    <x v="100"/>
    <n v="4.8"/>
    <s v="Cash"/>
    <x v="11"/>
    <x v="11"/>
    <x v="0"/>
    <n v="3942.3999999999996"/>
    <n v="1689.6000000000004"/>
  </r>
  <r>
    <n v="103"/>
    <x v="1"/>
    <x v="78"/>
    <x v="8"/>
    <s v="256GB"/>
    <s v="White"/>
    <x v="99"/>
    <x v="2"/>
    <x v="101"/>
    <n v="4.2"/>
    <s v="Debit Card"/>
    <x v="11"/>
    <x v="11"/>
    <x v="0"/>
    <n v="4302.2"/>
    <n v="1843.8000000000002"/>
  </r>
  <r>
    <n v="104"/>
    <x v="3"/>
    <x v="79"/>
    <x v="2"/>
    <s v="64GB"/>
    <s v="Gold"/>
    <x v="100"/>
    <x v="13"/>
    <x v="102"/>
    <n v="3.9"/>
    <s v="Debit Card"/>
    <x v="4"/>
    <x v="4"/>
    <x v="0"/>
    <n v="5404"/>
    <n v="2316"/>
  </r>
  <r>
    <n v="105"/>
    <x v="2"/>
    <x v="60"/>
    <x v="6"/>
    <s v="512GB"/>
    <s v="Silver"/>
    <x v="101"/>
    <x v="6"/>
    <x v="103"/>
    <n v="3.1"/>
    <s v="Installments"/>
    <x v="6"/>
    <x v="6"/>
    <x v="0"/>
    <n v="3486"/>
    <n v="1494"/>
  </r>
  <r>
    <n v="106"/>
    <x v="4"/>
    <x v="80"/>
    <x v="9"/>
    <s v="256GB"/>
    <s v="Gold"/>
    <x v="102"/>
    <x v="14"/>
    <x v="104"/>
    <n v="3.7"/>
    <s v="Credit Card"/>
    <x v="9"/>
    <x v="9"/>
    <x v="0"/>
    <n v="7116.2"/>
    <n v="3049.8"/>
  </r>
  <r>
    <n v="107"/>
    <x v="6"/>
    <x v="52"/>
    <x v="9"/>
    <s v="64GB"/>
    <s v="Blue"/>
    <x v="103"/>
    <x v="3"/>
    <x v="105"/>
    <n v="3.6"/>
    <s v="Installments"/>
    <x v="2"/>
    <x v="2"/>
    <x v="0"/>
    <n v="5479.5999999999995"/>
    <n v="2348.4000000000005"/>
  </r>
  <r>
    <n v="108"/>
    <x v="1"/>
    <x v="1"/>
    <x v="6"/>
    <s v="64GB"/>
    <s v="Blue"/>
    <x v="104"/>
    <x v="13"/>
    <x v="106"/>
    <n v="3"/>
    <s v="Installments"/>
    <x v="1"/>
    <x v="1"/>
    <x v="0"/>
    <n v="10367"/>
    <n v="4443"/>
  </r>
  <r>
    <n v="109"/>
    <x v="3"/>
    <x v="81"/>
    <x v="8"/>
    <s v="256GB"/>
    <s v="Black"/>
    <x v="105"/>
    <x v="8"/>
    <x v="107"/>
    <n v="4.5999999999999996"/>
    <s v="Online Payment"/>
    <x v="3"/>
    <x v="3"/>
    <x v="0"/>
    <n v="1173.1999999999998"/>
    <n v="502.80000000000018"/>
  </r>
  <r>
    <n v="110"/>
    <x v="1"/>
    <x v="82"/>
    <x v="1"/>
    <s v="512GB"/>
    <s v="Green"/>
    <x v="106"/>
    <x v="1"/>
    <x v="108"/>
    <n v="4.5999999999999996"/>
    <s v="Credit Card"/>
    <x v="9"/>
    <x v="9"/>
    <x v="0"/>
    <n v="2967.2999999999997"/>
    <n v="1271.7000000000003"/>
  </r>
  <r>
    <n v="111"/>
    <x v="9"/>
    <x v="35"/>
    <x v="4"/>
    <s v="256GB"/>
    <s v="Blue"/>
    <x v="107"/>
    <x v="3"/>
    <x v="109"/>
    <n v="5"/>
    <s v="Cash"/>
    <x v="10"/>
    <x v="10"/>
    <x v="0"/>
    <n v="19152"/>
    <n v="8208"/>
  </r>
  <r>
    <n v="112"/>
    <x v="1"/>
    <x v="30"/>
    <x v="6"/>
    <s v="128GB"/>
    <s v="Blue"/>
    <x v="108"/>
    <x v="6"/>
    <x v="110"/>
    <n v="4.2"/>
    <s v="Debit Card"/>
    <x v="2"/>
    <x v="2"/>
    <x v="0"/>
    <n v="7207.2"/>
    <n v="3088.8"/>
  </r>
  <r>
    <n v="113"/>
    <x v="9"/>
    <x v="83"/>
    <x v="3"/>
    <s v="64GB"/>
    <s v="Green"/>
    <x v="109"/>
    <x v="6"/>
    <x v="111"/>
    <n v="4"/>
    <s v="Credit Card"/>
    <x v="0"/>
    <x v="0"/>
    <x v="0"/>
    <n v="4258.8"/>
    <n v="1825.1999999999998"/>
  </r>
  <r>
    <n v="114"/>
    <x v="5"/>
    <x v="84"/>
    <x v="6"/>
    <s v="64GB"/>
    <s v="Green"/>
    <x v="110"/>
    <x v="19"/>
    <x v="112"/>
    <n v="4"/>
    <s v="Online Payment"/>
    <x v="9"/>
    <x v="9"/>
    <x v="0"/>
    <n v="6806.7999999999993"/>
    <n v="2917.2000000000007"/>
  </r>
  <r>
    <n v="115"/>
    <x v="0"/>
    <x v="39"/>
    <x v="8"/>
    <s v="64GB"/>
    <s v="Silver"/>
    <x v="111"/>
    <x v="9"/>
    <x v="113"/>
    <n v="3.7"/>
    <s v="Installments"/>
    <x v="1"/>
    <x v="1"/>
    <x v="0"/>
    <n v="2826.6"/>
    <n v="1211.4000000000001"/>
  </r>
  <r>
    <n v="116"/>
    <x v="3"/>
    <x v="14"/>
    <x v="2"/>
    <s v="256GB"/>
    <s v="Green"/>
    <x v="112"/>
    <x v="1"/>
    <x v="114"/>
    <n v="3.9"/>
    <s v="Credit Card"/>
    <x v="2"/>
    <x v="2"/>
    <x v="0"/>
    <n v="5197.5"/>
    <n v="2227.5"/>
  </r>
  <r>
    <n v="117"/>
    <x v="2"/>
    <x v="85"/>
    <x v="6"/>
    <s v="256GB"/>
    <s v="Green"/>
    <x v="113"/>
    <x v="10"/>
    <x v="115"/>
    <n v="3.9"/>
    <s v="Online Payment"/>
    <x v="4"/>
    <x v="4"/>
    <x v="0"/>
    <n v="4361"/>
    <n v="1869"/>
  </r>
  <r>
    <n v="118"/>
    <x v="2"/>
    <x v="86"/>
    <x v="2"/>
    <s v="128GB"/>
    <s v="White"/>
    <x v="114"/>
    <x v="16"/>
    <x v="116"/>
    <n v="4.3"/>
    <s v="Credit Card"/>
    <x v="7"/>
    <x v="7"/>
    <x v="0"/>
    <n v="1024.0999999999999"/>
    <n v="438.90000000000009"/>
  </r>
  <r>
    <n v="119"/>
    <x v="3"/>
    <x v="87"/>
    <x v="5"/>
    <s v="256GB"/>
    <s v="Blue"/>
    <x v="115"/>
    <x v="9"/>
    <x v="117"/>
    <n v="3.4"/>
    <s v="Installments"/>
    <x v="3"/>
    <x v="3"/>
    <x v="0"/>
    <n v="2530.5"/>
    <n v="1084.5"/>
  </r>
  <r>
    <n v="120"/>
    <x v="4"/>
    <x v="47"/>
    <x v="8"/>
    <s v="512GB"/>
    <s v="Green"/>
    <x v="116"/>
    <x v="1"/>
    <x v="118"/>
    <n v="3.6"/>
    <s v="Installments"/>
    <x v="9"/>
    <x v="9"/>
    <x v="0"/>
    <n v="4554.8999999999996"/>
    <n v="1952.1000000000004"/>
  </r>
  <r>
    <n v="121"/>
    <x v="1"/>
    <x v="72"/>
    <x v="9"/>
    <s v="512GB"/>
    <s v="Gold"/>
    <x v="117"/>
    <x v="15"/>
    <x v="119"/>
    <n v="4.7"/>
    <s v="Cash"/>
    <x v="0"/>
    <x v="0"/>
    <x v="0"/>
    <n v="5187"/>
    <n v="2223"/>
  </r>
  <r>
    <n v="122"/>
    <x v="6"/>
    <x v="36"/>
    <x v="9"/>
    <s v="256GB"/>
    <s v="Silver"/>
    <x v="118"/>
    <x v="18"/>
    <x v="120"/>
    <n v="3.4"/>
    <s v="Credit Card"/>
    <x v="9"/>
    <x v="9"/>
    <x v="0"/>
    <n v="9809.7999999999993"/>
    <n v="4204.2000000000007"/>
  </r>
  <r>
    <n v="123"/>
    <x v="1"/>
    <x v="1"/>
    <x v="9"/>
    <s v="64GB"/>
    <s v="Black"/>
    <x v="119"/>
    <x v="5"/>
    <x v="121"/>
    <n v="4.5999999999999996"/>
    <s v="Debit Card"/>
    <x v="5"/>
    <x v="5"/>
    <x v="0"/>
    <n v="13755"/>
    <n v="5895"/>
  </r>
  <r>
    <n v="124"/>
    <x v="5"/>
    <x v="88"/>
    <x v="7"/>
    <s v="64GB"/>
    <s v="Silver"/>
    <x v="120"/>
    <x v="9"/>
    <x v="122"/>
    <n v="4.5"/>
    <s v="Debit Card"/>
    <x v="5"/>
    <x v="5"/>
    <x v="0"/>
    <n v="2885.3999999999996"/>
    <n v="1236.6000000000004"/>
  </r>
  <r>
    <n v="125"/>
    <x v="7"/>
    <x v="89"/>
    <x v="9"/>
    <s v="64GB"/>
    <s v="Black"/>
    <x v="121"/>
    <x v="0"/>
    <x v="123"/>
    <n v="3.7"/>
    <s v="Installments"/>
    <x v="8"/>
    <x v="8"/>
    <x v="0"/>
    <n v="12852"/>
    <n v="5508"/>
  </r>
  <r>
    <n v="126"/>
    <x v="4"/>
    <x v="90"/>
    <x v="1"/>
    <s v="256GB"/>
    <s v="Gold"/>
    <x v="122"/>
    <x v="15"/>
    <x v="124"/>
    <n v="3.2"/>
    <s v="Debit Card"/>
    <x v="10"/>
    <x v="10"/>
    <x v="0"/>
    <n v="4057.2"/>
    <n v="1738.8000000000002"/>
  </r>
  <r>
    <n v="127"/>
    <x v="3"/>
    <x v="91"/>
    <x v="6"/>
    <s v="128GB"/>
    <s v="White"/>
    <x v="123"/>
    <x v="8"/>
    <x v="125"/>
    <n v="4.3"/>
    <s v="Debit Card"/>
    <x v="11"/>
    <x v="11"/>
    <x v="0"/>
    <n v="701.4"/>
    <n v="300.60000000000002"/>
  </r>
  <r>
    <n v="128"/>
    <x v="8"/>
    <x v="92"/>
    <x v="8"/>
    <s v="256GB"/>
    <s v="Blue"/>
    <x v="124"/>
    <x v="0"/>
    <x v="126"/>
    <n v="3.5"/>
    <s v="Installments"/>
    <x v="7"/>
    <x v="7"/>
    <x v="0"/>
    <n v="17136"/>
    <n v="7344"/>
  </r>
  <r>
    <n v="129"/>
    <x v="6"/>
    <x v="93"/>
    <x v="1"/>
    <s v="128GB"/>
    <s v="Gold"/>
    <x v="53"/>
    <x v="17"/>
    <x v="127"/>
    <n v="3.3"/>
    <s v="Installments"/>
    <x v="5"/>
    <x v="5"/>
    <x v="0"/>
    <n v="16676.8"/>
    <n v="7147.2000000000007"/>
  </r>
  <r>
    <n v="130"/>
    <x v="6"/>
    <x v="94"/>
    <x v="4"/>
    <s v="512GB"/>
    <s v="Green"/>
    <x v="125"/>
    <x v="19"/>
    <x v="128"/>
    <n v="3.4"/>
    <s v="Debit Card"/>
    <x v="2"/>
    <x v="2"/>
    <x v="0"/>
    <n v="16695.7"/>
    <n v="7155.2999999999993"/>
  </r>
  <r>
    <n v="131"/>
    <x v="9"/>
    <x v="95"/>
    <x v="0"/>
    <s v="512GB"/>
    <s v="Green"/>
    <x v="126"/>
    <x v="2"/>
    <x v="129"/>
    <n v="3.6"/>
    <s v="Online Payment"/>
    <x v="5"/>
    <x v="5"/>
    <x v="0"/>
    <n v="5331.2"/>
    <n v="2284.8000000000002"/>
  </r>
  <r>
    <n v="132"/>
    <x v="1"/>
    <x v="74"/>
    <x v="9"/>
    <s v="64GB"/>
    <s v="Blue"/>
    <x v="127"/>
    <x v="2"/>
    <x v="130"/>
    <n v="3.8"/>
    <s v="Online Payment"/>
    <x v="3"/>
    <x v="3"/>
    <x v="0"/>
    <n v="2837.1"/>
    <n v="1215.9000000000001"/>
  </r>
  <r>
    <n v="133"/>
    <x v="9"/>
    <x v="83"/>
    <x v="1"/>
    <s v="256GB"/>
    <s v="Gold"/>
    <x v="128"/>
    <x v="11"/>
    <x v="131"/>
    <n v="3.4"/>
    <s v="Online Payment"/>
    <x v="10"/>
    <x v="10"/>
    <x v="0"/>
    <n v="8908.1999999999989"/>
    <n v="3817.8000000000011"/>
  </r>
  <r>
    <n v="134"/>
    <x v="7"/>
    <x v="96"/>
    <x v="5"/>
    <s v="512GB"/>
    <s v="Black"/>
    <x v="129"/>
    <x v="8"/>
    <x v="132"/>
    <n v="3.1"/>
    <s v="Debit Card"/>
    <x v="11"/>
    <x v="11"/>
    <x v="0"/>
    <n v="1591.8"/>
    <n v="682.2"/>
  </r>
  <r>
    <n v="135"/>
    <x v="0"/>
    <x v="97"/>
    <x v="6"/>
    <s v="256GB"/>
    <s v="Green"/>
    <x v="130"/>
    <x v="2"/>
    <x v="133"/>
    <n v="3"/>
    <s v="Cash"/>
    <x v="3"/>
    <x v="3"/>
    <x v="0"/>
    <n v="1901.1999999999998"/>
    <n v="814.80000000000018"/>
  </r>
  <r>
    <n v="136"/>
    <x v="3"/>
    <x v="98"/>
    <x v="2"/>
    <s v="256GB"/>
    <s v="Blue"/>
    <x v="131"/>
    <x v="10"/>
    <x v="134"/>
    <n v="4.9000000000000004"/>
    <s v="Debit Card"/>
    <x v="4"/>
    <x v="4"/>
    <x v="0"/>
    <n v="5997.5999999999995"/>
    <n v="2570.4000000000005"/>
  </r>
  <r>
    <n v="137"/>
    <x v="8"/>
    <x v="99"/>
    <x v="7"/>
    <s v="256GB"/>
    <s v="Silver"/>
    <x v="132"/>
    <x v="0"/>
    <x v="135"/>
    <n v="4.5"/>
    <s v="Debit Card"/>
    <x v="9"/>
    <x v="9"/>
    <x v="0"/>
    <n v="14294"/>
    <n v="6126"/>
  </r>
  <r>
    <n v="138"/>
    <x v="7"/>
    <x v="100"/>
    <x v="4"/>
    <s v="512GB"/>
    <s v="Blue"/>
    <x v="133"/>
    <x v="0"/>
    <x v="136"/>
    <n v="3.4"/>
    <s v="Online Payment"/>
    <x v="0"/>
    <x v="0"/>
    <x v="0"/>
    <n v="7042"/>
    <n v="3018"/>
  </r>
  <r>
    <n v="139"/>
    <x v="5"/>
    <x v="101"/>
    <x v="9"/>
    <s v="128GB"/>
    <s v="Gold"/>
    <x v="134"/>
    <x v="4"/>
    <x v="137"/>
    <n v="3.1"/>
    <s v="Installments"/>
    <x v="0"/>
    <x v="0"/>
    <x v="0"/>
    <n v="2889.6"/>
    <n v="1238.4000000000001"/>
  </r>
  <r>
    <n v="140"/>
    <x v="6"/>
    <x v="71"/>
    <x v="0"/>
    <s v="128GB"/>
    <s v="Gold"/>
    <x v="135"/>
    <x v="13"/>
    <x v="138"/>
    <n v="4.5999999999999996"/>
    <s v="Cash"/>
    <x v="2"/>
    <x v="2"/>
    <x v="0"/>
    <n v="10374"/>
    <n v="4446"/>
  </r>
  <r>
    <n v="141"/>
    <x v="8"/>
    <x v="102"/>
    <x v="1"/>
    <s v="512GB"/>
    <s v="Green"/>
    <x v="136"/>
    <x v="4"/>
    <x v="139"/>
    <n v="4.8"/>
    <s v="Online Payment"/>
    <x v="11"/>
    <x v="11"/>
    <x v="0"/>
    <n v="2794.3999999999996"/>
    <n v="1197.6000000000004"/>
  </r>
  <r>
    <n v="142"/>
    <x v="3"/>
    <x v="103"/>
    <x v="6"/>
    <s v="256GB"/>
    <s v="White"/>
    <x v="137"/>
    <x v="16"/>
    <x v="140"/>
    <n v="4.7"/>
    <s v="Debit Card"/>
    <x v="11"/>
    <x v="11"/>
    <x v="0"/>
    <n v="320.59999999999997"/>
    <n v="137.40000000000003"/>
  </r>
  <r>
    <n v="143"/>
    <x v="3"/>
    <x v="103"/>
    <x v="1"/>
    <s v="128GB"/>
    <s v="Black"/>
    <x v="138"/>
    <x v="5"/>
    <x v="119"/>
    <n v="3.9"/>
    <s v="Credit Card"/>
    <x v="1"/>
    <x v="1"/>
    <x v="0"/>
    <n v="5187"/>
    <n v="2223"/>
  </r>
  <r>
    <n v="144"/>
    <x v="0"/>
    <x v="9"/>
    <x v="8"/>
    <s v="128GB"/>
    <s v="Gold"/>
    <x v="139"/>
    <x v="9"/>
    <x v="141"/>
    <n v="4.5999999999999996"/>
    <s v="Debit Card"/>
    <x v="9"/>
    <x v="9"/>
    <x v="0"/>
    <n v="1050"/>
    <n v="450"/>
  </r>
  <r>
    <n v="145"/>
    <x v="6"/>
    <x v="49"/>
    <x v="5"/>
    <s v="256GB"/>
    <s v="Green"/>
    <x v="140"/>
    <x v="8"/>
    <x v="142"/>
    <n v="3.6"/>
    <s v="Installments"/>
    <x v="7"/>
    <x v="7"/>
    <x v="0"/>
    <n v="1926.3999999999999"/>
    <n v="825.60000000000014"/>
  </r>
  <r>
    <n v="146"/>
    <x v="7"/>
    <x v="69"/>
    <x v="1"/>
    <s v="64GB"/>
    <s v="Silver"/>
    <x v="141"/>
    <x v="0"/>
    <x v="143"/>
    <n v="3.1"/>
    <s v="Cash"/>
    <x v="11"/>
    <x v="11"/>
    <x v="0"/>
    <n v="6384"/>
    <n v="2736"/>
  </r>
  <r>
    <n v="147"/>
    <x v="0"/>
    <x v="0"/>
    <x v="1"/>
    <s v="512GB"/>
    <s v="Gold"/>
    <x v="142"/>
    <x v="11"/>
    <x v="144"/>
    <n v="4.9000000000000004"/>
    <s v="Credit Card"/>
    <x v="11"/>
    <x v="11"/>
    <x v="0"/>
    <n v="8253"/>
    <n v="3537"/>
  </r>
  <r>
    <n v="148"/>
    <x v="1"/>
    <x v="25"/>
    <x v="6"/>
    <s v="256GB"/>
    <s v="Silver"/>
    <x v="143"/>
    <x v="10"/>
    <x v="145"/>
    <n v="4.4000000000000004"/>
    <s v="Cash"/>
    <x v="9"/>
    <x v="9"/>
    <x v="0"/>
    <n v="3469.2"/>
    <n v="1486.8000000000002"/>
  </r>
  <r>
    <n v="149"/>
    <x v="2"/>
    <x v="104"/>
    <x v="7"/>
    <s v="64GB"/>
    <s v="Green"/>
    <x v="144"/>
    <x v="0"/>
    <x v="146"/>
    <n v="4.5"/>
    <s v="Debit Card"/>
    <x v="7"/>
    <x v="7"/>
    <x v="0"/>
    <n v="11368"/>
    <n v="4872"/>
  </r>
  <r>
    <n v="150"/>
    <x v="7"/>
    <x v="105"/>
    <x v="0"/>
    <s v="256GB"/>
    <s v="Gold"/>
    <x v="145"/>
    <x v="2"/>
    <x v="147"/>
    <n v="4.7"/>
    <s v="Cash"/>
    <x v="10"/>
    <x v="10"/>
    <x v="0"/>
    <n v="5478.2"/>
    <n v="2347.8000000000002"/>
  </r>
  <r>
    <n v="151"/>
    <x v="9"/>
    <x v="95"/>
    <x v="3"/>
    <s v="128GB"/>
    <s v="Gold"/>
    <x v="146"/>
    <x v="4"/>
    <x v="148"/>
    <n v="3.4"/>
    <s v="Cash"/>
    <x v="0"/>
    <x v="0"/>
    <x v="0"/>
    <n v="8159.2"/>
    <n v="3496.8"/>
  </r>
  <r>
    <n v="152"/>
    <x v="2"/>
    <x v="45"/>
    <x v="3"/>
    <s v="64GB"/>
    <s v="Green"/>
    <x v="147"/>
    <x v="6"/>
    <x v="149"/>
    <n v="4"/>
    <s v="Debit Card"/>
    <x v="8"/>
    <x v="8"/>
    <x v="0"/>
    <n v="8517.6"/>
    <n v="3650.3999999999996"/>
  </r>
  <r>
    <n v="153"/>
    <x v="5"/>
    <x v="106"/>
    <x v="2"/>
    <s v="128GB"/>
    <s v="Blue"/>
    <x v="66"/>
    <x v="9"/>
    <x v="150"/>
    <n v="4.9000000000000004"/>
    <s v="Debit Card"/>
    <x v="6"/>
    <x v="6"/>
    <x v="0"/>
    <n v="2219.6999999999998"/>
    <n v="951.30000000000018"/>
  </r>
  <r>
    <n v="154"/>
    <x v="6"/>
    <x v="71"/>
    <x v="4"/>
    <s v="256GB"/>
    <s v="Gold"/>
    <x v="148"/>
    <x v="17"/>
    <x v="151"/>
    <n v="3.1"/>
    <s v="Online Payment"/>
    <x v="2"/>
    <x v="2"/>
    <x v="0"/>
    <n v="13473.599999999999"/>
    <n v="5774.4000000000015"/>
  </r>
  <r>
    <n v="155"/>
    <x v="7"/>
    <x v="105"/>
    <x v="0"/>
    <s v="256GB"/>
    <s v="Green"/>
    <x v="149"/>
    <x v="8"/>
    <x v="152"/>
    <n v="4.0999999999999996"/>
    <s v="Installments"/>
    <x v="4"/>
    <x v="4"/>
    <x v="0"/>
    <n v="1736"/>
    <n v="744"/>
  </r>
  <r>
    <n v="156"/>
    <x v="7"/>
    <x v="69"/>
    <x v="8"/>
    <s v="128GB"/>
    <s v="Black"/>
    <x v="150"/>
    <x v="8"/>
    <x v="153"/>
    <n v="4.5"/>
    <s v="Online Payment"/>
    <x v="5"/>
    <x v="5"/>
    <x v="0"/>
    <n v="586.59999999999991"/>
    <n v="251.40000000000009"/>
  </r>
  <r>
    <n v="157"/>
    <x v="8"/>
    <x v="107"/>
    <x v="9"/>
    <s v="128GB"/>
    <s v="Gold"/>
    <x v="151"/>
    <x v="14"/>
    <x v="154"/>
    <n v="3"/>
    <s v="Credit Card"/>
    <x v="0"/>
    <x v="0"/>
    <x v="0"/>
    <n v="4768.3999999999996"/>
    <n v="2043.6000000000004"/>
  </r>
  <r>
    <n v="158"/>
    <x v="1"/>
    <x v="108"/>
    <x v="9"/>
    <s v="512GB"/>
    <s v="Silver"/>
    <x v="152"/>
    <x v="9"/>
    <x v="155"/>
    <n v="3.7"/>
    <s v="Installments"/>
    <x v="3"/>
    <x v="3"/>
    <x v="0"/>
    <n v="1572.8999999999999"/>
    <n v="674.10000000000014"/>
  </r>
  <r>
    <n v="159"/>
    <x v="1"/>
    <x v="109"/>
    <x v="5"/>
    <s v="512GB"/>
    <s v="Gold"/>
    <x v="147"/>
    <x v="17"/>
    <x v="156"/>
    <n v="3.9"/>
    <s v="Debit Card"/>
    <x v="0"/>
    <x v="0"/>
    <x v="0"/>
    <n v="11356.8"/>
    <n v="4867.2000000000007"/>
  </r>
  <r>
    <n v="160"/>
    <x v="1"/>
    <x v="25"/>
    <x v="9"/>
    <s v="512GB"/>
    <s v="Black"/>
    <x v="153"/>
    <x v="6"/>
    <x v="157"/>
    <n v="3.7"/>
    <s v="Online Payment"/>
    <x v="6"/>
    <x v="6"/>
    <x v="0"/>
    <n v="5451.5999999999995"/>
    <n v="2336.4000000000005"/>
  </r>
  <r>
    <n v="161"/>
    <x v="9"/>
    <x v="83"/>
    <x v="5"/>
    <s v="256GB"/>
    <s v="Silver"/>
    <x v="154"/>
    <x v="7"/>
    <x v="158"/>
    <n v="3.4"/>
    <s v="Cash"/>
    <x v="11"/>
    <x v="11"/>
    <x v="0"/>
    <n v="1596"/>
    <n v="684"/>
  </r>
  <r>
    <n v="162"/>
    <x v="7"/>
    <x v="110"/>
    <x v="1"/>
    <s v="256GB"/>
    <s v="White"/>
    <x v="39"/>
    <x v="10"/>
    <x v="159"/>
    <n v="4.2"/>
    <s v="Credit Card"/>
    <x v="0"/>
    <x v="0"/>
    <x v="0"/>
    <n v="11622.8"/>
    <n v="4981.2000000000007"/>
  </r>
  <r>
    <n v="163"/>
    <x v="5"/>
    <x v="111"/>
    <x v="6"/>
    <s v="512GB"/>
    <s v="Green"/>
    <x v="155"/>
    <x v="5"/>
    <x v="160"/>
    <n v="3.8"/>
    <s v="Cash"/>
    <x v="11"/>
    <x v="11"/>
    <x v="0"/>
    <n v="6174"/>
    <n v="2646"/>
  </r>
  <r>
    <n v="164"/>
    <x v="6"/>
    <x v="112"/>
    <x v="3"/>
    <s v="64GB"/>
    <s v="Gold"/>
    <x v="90"/>
    <x v="0"/>
    <x v="161"/>
    <n v="3.5"/>
    <s v="Online Payment"/>
    <x v="5"/>
    <x v="5"/>
    <x v="0"/>
    <n v="20202"/>
    <n v="8658"/>
  </r>
  <r>
    <n v="165"/>
    <x v="0"/>
    <x v="59"/>
    <x v="8"/>
    <s v="64GB"/>
    <s v="White"/>
    <x v="156"/>
    <x v="12"/>
    <x v="162"/>
    <n v="4"/>
    <s v="Credit Card"/>
    <x v="7"/>
    <x v="7"/>
    <x v="0"/>
    <n v="1627.5"/>
    <n v="697.5"/>
  </r>
  <r>
    <n v="166"/>
    <x v="0"/>
    <x v="32"/>
    <x v="8"/>
    <s v="64GB"/>
    <s v="Gold"/>
    <x v="157"/>
    <x v="6"/>
    <x v="163"/>
    <n v="4.5999999999999996"/>
    <s v="Online Payment"/>
    <x v="3"/>
    <x v="3"/>
    <x v="0"/>
    <n v="7064.4"/>
    <n v="3027.6000000000004"/>
  </r>
  <r>
    <n v="167"/>
    <x v="7"/>
    <x v="89"/>
    <x v="0"/>
    <s v="512GB"/>
    <s v="Green"/>
    <x v="20"/>
    <x v="6"/>
    <x v="164"/>
    <n v="3.6"/>
    <s v="Installments"/>
    <x v="0"/>
    <x v="0"/>
    <x v="0"/>
    <n v="3863.9999999999995"/>
    <n v="1656.0000000000005"/>
  </r>
  <r>
    <n v="168"/>
    <x v="5"/>
    <x v="66"/>
    <x v="7"/>
    <s v="512GB"/>
    <s v="Gold"/>
    <x v="158"/>
    <x v="7"/>
    <x v="165"/>
    <n v="3.8"/>
    <s v="Installments"/>
    <x v="3"/>
    <x v="3"/>
    <x v="0"/>
    <n v="4121.5999999999995"/>
    <n v="1766.4000000000005"/>
  </r>
  <r>
    <n v="169"/>
    <x v="9"/>
    <x v="56"/>
    <x v="4"/>
    <s v="256GB"/>
    <s v="Black"/>
    <x v="159"/>
    <x v="14"/>
    <x v="166"/>
    <n v="3.2"/>
    <s v="Installments"/>
    <x v="5"/>
    <x v="5"/>
    <x v="0"/>
    <n v="3439.7999999999997"/>
    <n v="1474.2000000000003"/>
  </r>
  <r>
    <n v="170"/>
    <x v="3"/>
    <x v="98"/>
    <x v="8"/>
    <s v="256GB"/>
    <s v="White"/>
    <x v="160"/>
    <x v="2"/>
    <x v="167"/>
    <n v="4.8"/>
    <s v="Installments"/>
    <x v="4"/>
    <x v="4"/>
    <x v="0"/>
    <n v="3479"/>
    <n v="1491"/>
  </r>
  <r>
    <n v="171"/>
    <x v="7"/>
    <x v="70"/>
    <x v="6"/>
    <s v="64GB"/>
    <s v="Blue"/>
    <x v="161"/>
    <x v="1"/>
    <x v="168"/>
    <n v="4.3"/>
    <s v="Online Payment"/>
    <x v="0"/>
    <x v="0"/>
    <x v="0"/>
    <n v="5688.9"/>
    <n v="2438.1000000000004"/>
  </r>
  <r>
    <n v="172"/>
    <x v="5"/>
    <x v="11"/>
    <x v="9"/>
    <s v="512GB"/>
    <s v="Black"/>
    <x v="162"/>
    <x v="19"/>
    <x v="169"/>
    <n v="4.4000000000000004"/>
    <s v="Credit Card"/>
    <x v="4"/>
    <x v="4"/>
    <x v="0"/>
    <n v="6521.2"/>
    <n v="2794.8"/>
  </r>
  <r>
    <n v="173"/>
    <x v="4"/>
    <x v="113"/>
    <x v="4"/>
    <s v="256GB"/>
    <s v="White"/>
    <x v="102"/>
    <x v="6"/>
    <x v="170"/>
    <n v="3.3"/>
    <s v="Debit Card"/>
    <x v="10"/>
    <x v="10"/>
    <x v="0"/>
    <n v="6568.7999999999993"/>
    <n v="2815.2000000000007"/>
  </r>
  <r>
    <n v="174"/>
    <x v="1"/>
    <x v="114"/>
    <x v="1"/>
    <s v="256GB"/>
    <s v="Green"/>
    <x v="163"/>
    <x v="11"/>
    <x v="171"/>
    <n v="4.7"/>
    <s v="Credit Card"/>
    <x v="9"/>
    <x v="9"/>
    <x v="0"/>
    <n v="8505"/>
    <n v="3645"/>
  </r>
  <r>
    <n v="175"/>
    <x v="7"/>
    <x v="69"/>
    <x v="5"/>
    <s v="128GB"/>
    <s v="Blue"/>
    <x v="164"/>
    <x v="3"/>
    <x v="172"/>
    <n v="4.3"/>
    <s v="Installments"/>
    <x v="5"/>
    <x v="5"/>
    <x v="0"/>
    <n v="8591.7999999999993"/>
    <n v="3682.2000000000007"/>
  </r>
  <r>
    <n v="176"/>
    <x v="8"/>
    <x v="115"/>
    <x v="4"/>
    <s v="512GB"/>
    <s v="Black"/>
    <x v="165"/>
    <x v="9"/>
    <x v="173"/>
    <n v="3.8"/>
    <s v="Debit Card"/>
    <x v="0"/>
    <x v="0"/>
    <x v="0"/>
    <n v="2118.9"/>
    <n v="908.09999999999991"/>
  </r>
  <r>
    <n v="177"/>
    <x v="4"/>
    <x v="116"/>
    <x v="9"/>
    <s v="128GB"/>
    <s v="Gold"/>
    <x v="166"/>
    <x v="13"/>
    <x v="174"/>
    <n v="4.4000000000000004"/>
    <s v="Installments"/>
    <x v="1"/>
    <x v="1"/>
    <x v="0"/>
    <n v="9716"/>
    <n v="4164"/>
  </r>
  <r>
    <n v="178"/>
    <x v="9"/>
    <x v="23"/>
    <x v="9"/>
    <s v="256GB"/>
    <s v="Blue"/>
    <x v="167"/>
    <x v="7"/>
    <x v="175"/>
    <n v="4.8"/>
    <s v="Credit Card"/>
    <x v="0"/>
    <x v="0"/>
    <x v="0"/>
    <n v="1797.6"/>
    <n v="770.40000000000009"/>
  </r>
  <r>
    <n v="179"/>
    <x v="9"/>
    <x v="56"/>
    <x v="3"/>
    <s v="64GB"/>
    <s v="White"/>
    <x v="168"/>
    <x v="14"/>
    <x v="176"/>
    <n v="3.6"/>
    <s v="Cash"/>
    <x v="1"/>
    <x v="1"/>
    <x v="0"/>
    <n v="11074.699999999999"/>
    <n v="4746.3000000000011"/>
  </r>
  <r>
    <n v="180"/>
    <x v="0"/>
    <x v="39"/>
    <x v="0"/>
    <s v="512GB"/>
    <s v="Gold"/>
    <x v="169"/>
    <x v="2"/>
    <x v="177"/>
    <n v="4.5"/>
    <s v="Credit Card"/>
    <x v="2"/>
    <x v="2"/>
    <x v="0"/>
    <n v="2337.2999999999997"/>
    <n v="1001.7000000000003"/>
  </r>
  <r>
    <n v="181"/>
    <x v="0"/>
    <x v="12"/>
    <x v="2"/>
    <s v="128GB"/>
    <s v="Silver"/>
    <x v="170"/>
    <x v="16"/>
    <x v="178"/>
    <n v="3.9"/>
    <s v="Installments"/>
    <x v="3"/>
    <x v="3"/>
    <x v="0"/>
    <n v="716.09999999999991"/>
    <n v="306.90000000000009"/>
  </r>
  <r>
    <n v="182"/>
    <x v="8"/>
    <x v="102"/>
    <x v="1"/>
    <s v="64GB"/>
    <s v="Green"/>
    <x v="171"/>
    <x v="12"/>
    <x v="179"/>
    <n v="4"/>
    <s v="Credit Card"/>
    <x v="3"/>
    <x v="3"/>
    <x v="0"/>
    <n v="2751"/>
    <n v="1179"/>
  </r>
  <r>
    <n v="183"/>
    <x v="8"/>
    <x v="115"/>
    <x v="9"/>
    <s v="128GB"/>
    <s v="White"/>
    <x v="172"/>
    <x v="2"/>
    <x v="180"/>
    <n v="3.5"/>
    <s v="Credit Card"/>
    <x v="8"/>
    <x v="8"/>
    <x v="0"/>
    <n v="2435.2999999999997"/>
    <n v="1043.7000000000003"/>
  </r>
  <r>
    <n v="184"/>
    <x v="3"/>
    <x v="87"/>
    <x v="6"/>
    <s v="512GB"/>
    <s v="Black"/>
    <x v="9"/>
    <x v="16"/>
    <x v="181"/>
    <n v="4"/>
    <s v="Cash"/>
    <x v="5"/>
    <x v="5"/>
    <x v="0"/>
    <n v="644.69999999999993"/>
    <n v="276.30000000000007"/>
  </r>
  <r>
    <n v="185"/>
    <x v="8"/>
    <x v="117"/>
    <x v="9"/>
    <s v="128GB"/>
    <s v="Gold"/>
    <x v="173"/>
    <x v="1"/>
    <x v="182"/>
    <n v="5"/>
    <s v="Credit Card"/>
    <x v="11"/>
    <x v="11"/>
    <x v="0"/>
    <n v="9027.9"/>
    <n v="3869.1000000000004"/>
  </r>
  <r>
    <n v="186"/>
    <x v="4"/>
    <x v="8"/>
    <x v="6"/>
    <s v="128GB"/>
    <s v="Gold"/>
    <x v="174"/>
    <x v="4"/>
    <x v="183"/>
    <n v="4.2"/>
    <s v="Credit Card"/>
    <x v="1"/>
    <x v="1"/>
    <x v="0"/>
    <n v="6843.2"/>
    <n v="2932.8"/>
  </r>
  <r>
    <n v="187"/>
    <x v="8"/>
    <x v="19"/>
    <x v="0"/>
    <s v="256GB"/>
    <s v="Blue"/>
    <x v="175"/>
    <x v="17"/>
    <x v="184"/>
    <n v="4.9000000000000004"/>
    <s v="Debit Card"/>
    <x v="5"/>
    <x v="5"/>
    <x v="0"/>
    <n v="14324.8"/>
    <n v="6139.2000000000007"/>
  </r>
  <r>
    <n v="188"/>
    <x v="3"/>
    <x v="103"/>
    <x v="4"/>
    <s v="512GB"/>
    <s v="White"/>
    <x v="176"/>
    <x v="3"/>
    <x v="185"/>
    <n v="4.9000000000000004"/>
    <s v="Credit Card"/>
    <x v="3"/>
    <x v="3"/>
    <x v="0"/>
    <n v="16957.5"/>
    <n v="7267.5"/>
  </r>
  <r>
    <n v="189"/>
    <x v="3"/>
    <x v="41"/>
    <x v="7"/>
    <s v="128GB"/>
    <s v="Blue"/>
    <x v="177"/>
    <x v="2"/>
    <x v="186"/>
    <n v="5"/>
    <s v="Debit Card"/>
    <x v="6"/>
    <x v="6"/>
    <x v="0"/>
    <n v="1915.8999999999999"/>
    <n v="821.10000000000014"/>
  </r>
  <r>
    <n v="190"/>
    <x v="0"/>
    <x v="118"/>
    <x v="0"/>
    <s v="256GB"/>
    <s v="Green"/>
    <x v="178"/>
    <x v="16"/>
    <x v="187"/>
    <n v="3.8"/>
    <s v="Credit Card"/>
    <x v="4"/>
    <x v="4"/>
    <x v="0"/>
    <n v="252.7"/>
    <n v="108.30000000000001"/>
  </r>
  <r>
    <n v="191"/>
    <x v="2"/>
    <x v="104"/>
    <x v="8"/>
    <s v="64GB"/>
    <s v="Green"/>
    <x v="179"/>
    <x v="18"/>
    <x v="188"/>
    <n v="3.4"/>
    <s v="Cash"/>
    <x v="4"/>
    <x v="4"/>
    <x v="0"/>
    <n v="8716.4"/>
    <n v="3735.6000000000004"/>
  </r>
  <r>
    <n v="192"/>
    <x v="9"/>
    <x v="51"/>
    <x v="1"/>
    <s v="512GB"/>
    <s v="Black"/>
    <x v="180"/>
    <x v="19"/>
    <x v="189"/>
    <n v="4.8"/>
    <s v="Credit Card"/>
    <x v="9"/>
    <x v="9"/>
    <x v="0"/>
    <n v="8508.5"/>
    <n v="3646.5"/>
  </r>
  <r>
    <n v="193"/>
    <x v="7"/>
    <x v="42"/>
    <x v="8"/>
    <s v="512GB"/>
    <s v="Blue"/>
    <x v="181"/>
    <x v="4"/>
    <x v="190"/>
    <n v="4.5"/>
    <s v="Credit Card"/>
    <x v="3"/>
    <x v="3"/>
    <x v="0"/>
    <n v="6428.7999999999993"/>
    <n v="2755.2000000000007"/>
  </r>
  <r>
    <n v="194"/>
    <x v="5"/>
    <x v="119"/>
    <x v="7"/>
    <s v="128GB"/>
    <s v="Gold"/>
    <x v="182"/>
    <x v="6"/>
    <x v="191"/>
    <n v="3"/>
    <s v="Debit Card"/>
    <x v="6"/>
    <x v="6"/>
    <x v="0"/>
    <n v="10508.4"/>
    <n v="4503.6000000000004"/>
  </r>
  <r>
    <n v="195"/>
    <x v="7"/>
    <x v="96"/>
    <x v="3"/>
    <s v="64GB"/>
    <s v="Blue"/>
    <x v="183"/>
    <x v="19"/>
    <x v="192"/>
    <n v="4.9000000000000004"/>
    <s v="Installments"/>
    <x v="7"/>
    <x v="7"/>
    <x v="0"/>
    <n v="12387.9"/>
    <n v="5309.1"/>
  </r>
  <r>
    <n v="196"/>
    <x v="6"/>
    <x v="93"/>
    <x v="3"/>
    <s v="512GB"/>
    <s v="Green"/>
    <x v="184"/>
    <x v="6"/>
    <x v="193"/>
    <n v="4.5"/>
    <s v="Installments"/>
    <x v="9"/>
    <x v="9"/>
    <x v="0"/>
    <n v="4594.7999999999993"/>
    <n v="1969.2000000000007"/>
  </r>
  <r>
    <n v="197"/>
    <x v="6"/>
    <x v="120"/>
    <x v="9"/>
    <s v="512GB"/>
    <s v="Gold"/>
    <x v="108"/>
    <x v="11"/>
    <x v="194"/>
    <n v="5"/>
    <s v="Cash"/>
    <x v="0"/>
    <x v="0"/>
    <x v="0"/>
    <n v="10810.8"/>
    <n v="4633.2000000000007"/>
  </r>
  <r>
    <n v="198"/>
    <x v="0"/>
    <x v="59"/>
    <x v="6"/>
    <s v="128GB"/>
    <s v="Black"/>
    <x v="185"/>
    <x v="5"/>
    <x v="195"/>
    <n v="3.5"/>
    <s v="Online Payment"/>
    <x v="0"/>
    <x v="0"/>
    <x v="0"/>
    <n v="6142.5"/>
    <n v="2632.5"/>
  </r>
  <r>
    <n v="199"/>
    <x v="4"/>
    <x v="121"/>
    <x v="2"/>
    <s v="128GB"/>
    <s v="Blue"/>
    <x v="186"/>
    <x v="15"/>
    <x v="196"/>
    <n v="4.4000000000000004"/>
    <s v="Online Payment"/>
    <x v="7"/>
    <x v="7"/>
    <x v="0"/>
    <n v="5791.7999999999993"/>
    <n v="2482.2000000000007"/>
  </r>
  <r>
    <n v="200"/>
    <x v="6"/>
    <x v="120"/>
    <x v="1"/>
    <s v="256GB"/>
    <s v="Silver"/>
    <x v="187"/>
    <x v="11"/>
    <x v="197"/>
    <n v="4.0999999999999996"/>
    <s v="Online Payment"/>
    <x v="1"/>
    <x v="1"/>
    <x v="0"/>
    <n v="9336.5999999999985"/>
    <n v="4001.4000000000015"/>
  </r>
  <r>
    <n v="201"/>
    <x v="3"/>
    <x v="79"/>
    <x v="3"/>
    <s v="128GB"/>
    <s v="Silver"/>
    <x v="188"/>
    <x v="5"/>
    <x v="198"/>
    <n v="3.2"/>
    <s v="Credit Card"/>
    <x v="1"/>
    <x v="1"/>
    <x v="0"/>
    <n v="4746"/>
    <n v="2034"/>
  </r>
  <r>
    <n v="202"/>
    <x v="4"/>
    <x v="121"/>
    <x v="3"/>
    <s v="512GB"/>
    <s v="Gold"/>
    <x v="189"/>
    <x v="9"/>
    <x v="199"/>
    <n v="5"/>
    <s v="Credit Card"/>
    <x v="9"/>
    <x v="9"/>
    <x v="0"/>
    <n v="1770.3"/>
    <n v="758.7"/>
  </r>
  <r>
    <n v="203"/>
    <x v="5"/>
    <x v="65"/>
    <x v="6"/>
    <s v="256GB"/>
    <s v="Green"/>
    <x v="190"/>
    <x v="12"/>
    <x v="200"/>
    <n v="4.0999999999999996"/>
    <s v="Online Payment"/>
    <x v="11"/>
    <x v="11"/>
    <x v="0"/>
    <n v="2275"/>
    <n v="975"/>
  </r>
  <r>
    <n v="204"/>
    <x v="3"/>
    <x v="122"/>
    <x v="2"/>
    <s v="512GB"/>
    <s v="Green"/>
    <x v="191"/>
    <x v="6"/>
    <x v="201"/>
    <n v="3.8"/>
    <s v="Cash"/>
    <x v="7"/>
    <x v="7"/>
    <x v="0"/>
    <n v="11188.8"/>
    <n v="4795.2000000000007"/>
  </r>
  <r>
    <n v="205"/>
    <x v="8"/>
    <x v="123"/>
    <x v="0"/>
    <s v="128GB"/>
    <s v="White"/>
    <x v="192"/>
    <x v="15"/>
    <x v="202"/>
    <n v="4"/>
    <s v="Installments"/>
    <x v="6"/>
    <x v="6"/>
    <x v="0"/>
    <n v="1352.3999999999999"/>
    <n v="579.60000000000014"/>
  </r>
  <r>
    <n v="206"/>
    <x v="3"/>
    <x v="122"/>
    <x v="7"/>
    <s v="512GB"/>
    <s v="Gold"/>
    <x v="139"/>
    <x v="3"/>
    <x v="203"/>
    <n v="3.1"/>
    <s v="Installments"/>
    <x v="5"/>
    <x v="5"/>
    <x v="0"/>
    <n v="6650"/>
    <n v="2850"/>
  </r>
  <r>
    <n v="207"/>
    <x v="5"/>
    <x v="119"/>
    <x v="0"/>
    <s v="64GB"/>
    <s v="Silver"/>
    <x v="193"/>
    <x v="15"/>
    <x v="204"/>
    <n v="3.8"/>
    <s v="Cash"/>
    <x v="2"/>
    <x v="2"/>
    <x v="0"/>
    <n v="5031.5999999999995"/>
    <n v="2156.4000000000005"/>
  </r>
  <r>
    <n v="208"/>
    <x v="1"/>
    <x v="72"/>
    <x v="8"/>
    <s v="128GB"/>
    <s v="Silver"/>
    <x v="194"/>
    <x v="11"/>
    <x v="205"/>
    <n v="3.8"/>
    <s v="Debit Card"/>
    <x v="5"/>
    <x v="5"/>
    <x v="0"/>
    <n v="13696.199999999999"/>
    <n v="5869.8000000000011"/>
  </r>
  <r>
    <n v="209"/>
    <x v="5"/>
    <x v="84"/>
    <x v="6"/>
    <s v="64GB"/>
    <s v="White"/>
    <x v="195"/>
    <x v="11"/>
    <x v="206"/>
    <n v="3.8"/>
    <s v="Online Payment"/>
    <x v="7"/>
    <x v="7"/>
    <x v="0"/>
    <n v="16455.599999999999"/>
    <n v="7052.4000000000015"/>
  </r>
  <r>
    <n v="210"/>
    <x v="4"/>
    <x v="90"/>
    <x v="2"/>
    <s v="256GB"/>
    <s v="Blue"/>
    <x v="14"/>
    <x v="19"/>
    <x v="207"/>
    <n v="3.6"/>
    <s v="Online Payment"/>
    <x v="2"/>
    <x v="2"/>
    <x v="0"/>
    <n v="12899.599999999999"/>
    <n v="5528.4000000000015"/>
  </r>
  <r>
    <n v="211"/>
    <x v="2"/>
    <x v="124"/>
    <x v="7"/>
    <s v="128GB"/>
    <s v="Black"/>
    <x v="196"/>
    <x v="0"/>
    <x v="208"/>
    <n v="4.9000000000000004"/>
    <s v="Cash"/>
    <x v="2"/>
    <x v="2"/>
    <x v="0"/>
    <n v="11508"/>
    <n v="4932"/>
  </r>
  <r>
    <n v="212"/>
    <x v="0"/>
    <x v="118"/>
    <x v="5"/>
    <s v="512GB"/>
    <s v="Black"/>
    <x v="20"/>
    <x v="11"/>
    <x v="65"/>
    <n v="3.4"/>
    <s v="Debit Card"/>
    <x v="2"/>
    <x v="2"/>
    <x v="0"/>
    <n v="5796"/>
    <n v="2484"/>
  </r>
  <r>
    <n v="213"/>
    <x v="8"/>
    <x v="125"/>
    <x v="1"/>
    <s v="512GB"/>
    <s v="Black"/>
    <x v="197"/>
    <x v="5"/>
    <x v="209"/>
    <n v="3.6"/>
    <s v="Cash"/>
    <x v="10"/>
    <x v="10"/>
    <x v="0"/>
    <n v="5071.5"/>
    <n v="2173.5"/>
  </r>
  <r>
    <n v="214"/>
    <x v="6"/>
    <x v="36"/>
    <x v="5"/>
    <s v="512GB"/>
    <s v="Silver"/>
    <x v="198"/>
    <x v="14"/>
    <x v="210"/>
    <n v="4.3"/>
    <s v="Cash"/>
    <x v="0"/>
    <x v="0"/>
    <x v="0"/>
    <n v="8171.7999999999993"/>
    <n v="3502.2000000000007"/>
  </r>
  <r>
    <n v="215"/>
    <x v="0"/>
    <x v="32"/>
    <x v="1"/>
    <s v="256GB"/>
    <s v="Silver"/>
    <x v="199"/>
    <x v="2"/>
    <x v="211"/>
    <n v="3.4"/>
    <s v="Cash"/>
    <x v="1"/>
    <x v="1"/>
    <x v="0"/>
    <n v="4699.0999999999995"/>
    <n v="2013.9000000000005"/>
  </r>
  <r>
    <n v="216"/>
    <x v="0"/>
    <x v="126"/>
    <x v="4"/>
    <s v="128GB"/>
    <s v="Black"/>
    <x v="122"/>
    <x v="0"/>
    <x v="212"/>
    <n v="3.7"/>
    <s v="Credit Card"/>
    <x v="6"/>
    <x v="6"/>
    <x v="0"/>
    <n v="13524"/>
    <n v="5796"/>
  </r>
  <r>
    <n v="217"/>
    <x v="1"/>
    <x v="127"/>
    <x v="3"/>
    <s v="128GB"/>
    <s v="Gold"/>
    <x v="200"/>
    <x v="16"/>
    <x v="213"/>
    <n v="3.7"/>
    <s v="Cash"/>
    <x v="10"/>
    <x v="10"/>
    <x v="0"/>
    <n v="367.5"/>
    <n v="157.5"/>
  </r>
  <r>
    <n v="218"/>
    <x v="8"/>
    <x v="99"/>
    <x v="5"/>
    <s v="64GB"/>
    <s v="White"/>
    <x v="201"/>
    <x v="12"/>
    <x v="214"/>
    <n v="3.6"/>
    <s v="Online Payment"/>
    <x v="6"/>
    <x v="6"/>
    <x v="0"/>
    <n v="3972.4999999999995"/>
    <n v="1702.5000000000005"/>
  </r>
  <r>
    <n v="219"/>
    <x v="4"/>
    <x v="80"/>
    <x v="3"/>
    <s v="512GB"/>
    <s v="Gold"/>
    <x v="202"/>
    <x v="8"/>
    <x v="215"/>
    <n v="3.4"/>
    <s v="Credit Card"/>
    <x v="10"/>
    <x v="10"/>
    <x v="0"/>
    <n v="1407"/>
    <n v="603"/>
  </r>
  <r>
    <n v="220"/>
    <x v="1"/>
    <x v="127"/>
    <x v="9"/>
    <s v="512GB"/>
    <s v="White"/>
    <x v="203"/>
    <x v="18"/>
    <x v="216"/>
    <n v="4.8"/>
    <s v="Cash"/>
    <x v="6"/>
    <x v="6"/>
    <x v="0"/>
    <n v="5536.2999999999993"/>
    <n v="2372.7000000000007"/>
  </r>
  <r>
    <n v="221"/>
    <x v="2"/>
    <x v="128"/>
    <x v="3"/>
    <s v="128GB"/>
    <s v="Blue"/>
    <x v="204"/>
    <x v="4"/>
    <x v="142"/>
    <n v="4"/>
    <s v="Installments"/>
    <x v="1"/>
    <x v="1"/>
    <x v="0"/>
    <n v="1926.3999999999999"/>
    <n v="825.60000000000014"/>
  </r>
  <r>
    <n v="222"/>
    <x v="6"/>
    <x v="22"/>
    <x v="9"/>
    <s v="512GB"/>
    <s v="Blue"/>
    <x v="205"/>
    <x v="0"/>
    <x v="217"/>
    <n v="3.8"/>
    <s v="Debit Card"/>
    <x v="1"/>
    <x v="1"/>
    <x v="0"/>
    <n v="6538"/>
    <n v="2802"/>
  </r>
  <r>
    <n v="223"/>
    <x v="9"/>
    <x v="77"/>
    <x v="2"/>
    <s v="64GB"/>
    <s v="Green"/>
    <x v="206"/>
    <x v="11"/>
    <x v="218"/>
    <n v="4.7"/>
    <s v="Online Payment"/>
    <x v="7"/>
    <x v="7"/>
    <x v="0"/>
    <n v="17703"/>
    <n v="7587"/>
  </r>
  <r>
    <n v="224"/>
    <x v="4"/>
    <x v="129"/>
    <x v="2"/>
    <s v="256GB"/>
    <s v="Silver"/>
    <x v="207"/>
    <x v="10"/>
    <x v="219"/>
    <n v="4.5999999999999996"/>
    <s v="Credit Card"/>
    <x v="3"/>
    <x v="3"/>
    <x v="0"/>
    <n v="9682.4"/>
    <n v="4149.6000000000004"/>
  </r>
  <r>
    <n v="225"/>
    <x v="1"/>
    <x v="130"/>
    <x v="4"/>
    <s v="512GB"/>
    <s v="Gold"/>
    <x v="208"/>
    <x v="13"/>
    <x v="220"/>
    <n v="4.5999999999999996"/>
    <s v="Debit Card"/>
    <x v="9"/>
    <x v="9"/>
    <x v="0"/>
    <n v="2709"/>
    <n v="1161"/>
  </r>
  <r>
    <n v="226"/>
    <x v="2"/>
    <x v="131"/>
    <x v="0"/>
    <s v="512GB"/>
    <s v="Gold"/>
    <x v="209"/>
    <x v="5"/>
    <x v="221"/>
    <n v="4.2"/>
    <s v="Credit Card"/>
    <x v="8"/>
    <x v="8"/>
    <x v="0"/>
    <n v="11707.5"/>
    <n v="5017.5"/>
  </r>
  <r>
    <n v="227"/>
    <x v="7"/>
    <x v="69"/>
    <x v="7"/>
    <s v="256GB"/>
    <s v="Green"/>
    <x v="210"/>
    <x v="13"/>
    <x v="222"/>
    <n v="3.9"/>
    <s v="Installments"/>
    <x v="3"/>
    <x v="3"/>
    <x v="0"/>
    <n v="2401"/>
    <n v="1029"/>
  </r>
  <r>
    <n v="228"/>
    <x v="8"/>
    <x v="132"/>
    <x v="6"/>
    <s v="256GB"/>
    <s v="Gold"/>
    <x v="211"/>
    <x v="14"/>
    <x v="223"/>
    <n v="3.3"/>
    <s v="Cash"/>
    <x v="0"/>
    <x v="0"/>
    <x v="0"/>
    <n v="4313.3999999999996"/>
    <n v="1848.6000000000004"/>
  </r>
  <r>
    <n v="229"/>
    <x v="5"/>
    <x v="133"/>
    <x v="1"/>
    <s v="64GB"/>
    <s v="Silver"/>
    <x v="212"/>
    <x v="1"/>
    <x v="224"/>
    <n v="3.9"/>
    <s v="Debit Card"/>
    <x v="1"/>
    <x v="1"/>
    <x v="0"/>
    <n v="4296.5999999999995"/>
    <n v="1841.4000000000005"/>
  </r>
  <r>
    <n v="230"/>
    <x v="3"/>
    <x v="10"/>
    <x v="8"/>
    <s v="256GB"/>
    <s v="Silver"/>
    <x v="123"/>
    <x v="10"/>
    <x v="225"/>
    <n v="4.4000000000000004"/>
    <s v="Cash"/>
    <x v="11"/>
    <x v="11"/>
    <x v="0"/>
    <n v="4909.7999999999993"/>
    <n v="2104.2000000000007"/>
  </r>
  <r>
    <n v="231"/>
    <x v="4"/>
    <x v="17"/>
    <x v="7"/>
    <s v="512GB"/>
    <s v="Gold"/>
    <x v="213"/>
    <x v="17"/>
    <x v="226"/>
    <n v="4.9000000000000004"/>
    <s v="Debit Card"/>
    <x v="7"/>
    <x v="7"/>
    <x v="0"/>
    <n v="13137.599999999999"/>
    <n v="5630.4000000000015"/>
  </r>
  <r>
    <n v="232"/>
    <x v="7"/>
    <x v="89"/>
    <x v="0"/>
    <s v="64GB"/>
    <s v="White"/>
    <x v="14"/>
    <x v="9"/>
    <x v="227"/>
    <n v="3.6"/>
    <s v="Installments"/>
    <x v="8"/>
    <x v="8"/>
    <x v="0"/>
    <n v="2276.3999999999996"/>
    <n v="975.60000000000036"/>
  </r>
  <r>
    <n v="233"/>
    <x v="3"/>
    <x v="122"/>
    <x v="2"/>
    <s v="256GB"/>
    <s v="Silver"/>
    <x v="214"/>
    <x v="17"/>
    <x v="228"/>
    <n v="4.7"/>
    <s v="Online Payment"/>
    <x v="4"/>
    <x v="4"/>
    <x v="0"/>
    <n v="7246.4"/>
    <n v="3105.6000000000004"/>
  </r>
  <r>
    <n v="234"/>
    <x v="2"/>
    <x v="124"/>
    <x v="2"/>
    <s v="128GB"/>
    <s v="Black"/>
    <x v="215"/>
    <x v="14"/>
    <x v="229"/>
    <n v="4"/>
    <s v="Cash"/>
    <x v="5"/>
    <x v="5"/>
    <x v="0"/>
    <n v="3576.2999999999997"/>
    <n v="1532.7000000000003"/>
  </r>
  <r>
    <n v="235"/>
    <x v="4"/>
    <x v="113"/>
    <x v="7"/>
    <s v="64GB"/>
    <s v="White"/>
    <x v="216"/>
    <x v="13"/>
    <x v="230"/>
    <n v="3.1"/>
    <s v="Debit Card"/>
    <x v="0"/>
    <x v="0"/>
    <x v="0"/>
    <n v="6139"/>
    <n v="2631"/>
  </r>
  <r>
    <n v="236"/>
    <x v="4"/>
    <x v="134"/>
    <x v="0"/>
    <s v="128GB"/>
    <s v="Silver"/>
    <x v="217"/>
    <x v="17"/>
    <x v="231"/>
    <n v="3.6"/>
    <s v="Cash"/>
    <x v="4"/>
    <x v="4"/>
    <x v="0"/>
    <n v="10270.4"/>
    <n v="4401.6000000000004"/>
  </r>
  <r>
    <n v="237"/>
    <x v="0"/>
    <x v="32"/>
    <x v="4"/>
    <s v="128GB"/>
    <s v="Blue"/>
    <x v="218"/>
    <x v="12"/>
    <x v="232"/>
    <n v="4.4000000000000004"/>
    <s v="Debit Card"/>
    <x v="2"/>
    <x v="2"/>
    <x v="0"/>
    <n v="3674.9999999999995"/>
    <n v="1575.0000000000005"/>
  </r>
  <r>
    <n v="238"/>
    <x v="2"/>
    <x v="135"/>
    <x v="8"/>
    <s v="128GB"/>
    <s v="Blue"/>
    <x v="219"/>
    <x v="13"/>
    <x v="233"/>
    <n v="3"/>
    <s v="Credit Card"/>
    <x v="9"/>
    <x v="9"/>
    <x v="0"/>
    <n v="10409"/>
    <n v="4461"/>
  </r>
  <r>
    <n v="239"/>
    <x v="2"/>
    <x v="136"/>
    <x v="3"/>
    <s v="128GB"/>
    <s v="Black"/>
    <x v="220"/>
    <x v="15"/>
    <x v="234"/>
    <n v="4.2"/>
    <s v="Online Payment"/>
    <x v="9"/>
    <x v="9"/>
    <x v="0"/>
    <n v="5182.7999999999993"/>
    <n v="2221.2000000000007"/>
  </r>
  <r>
    <n v="240"/>
    <x v="8"/>
    <x v="67"/>
    <x v="7"/>
    <s v="256GB"/>
    <s v="Blue"/>
    <x v="221"/>
    <x v="9"/>
    <x v="235"/>
    <n v="4.8"/>
    <s v="Credit Card"/>
    <x v="2"/>
    <x v="2"/>
    <x v="0"/>
    <n v="2249.1"/>
    <n v="963.90000000000009"/>
  </r>
  <r>
    <n v="241"/>
    <x v="2"/>
    <x v="137"/>
    <x v="5"/>
    <s v="256GB"/>
    <s v="Green"/>
    <x v="222"/>
    <x v="18"/>
    <x v="236"/>
    <n v="4.5"/>
    <s v="Online Payment"/>
    <x v="2"/>
    <x v="2"/>
    <x v="0"/>
    <n v="2448.6"/>
    <n v="1049.4000000000001"/>
  </r>
  <r>
    <n v="242"/>
    <x v="6"/>
    <x v="138"/>
    <x v="7"/>
    <s v="128GB"/>
    <s v="Blue"/>
    <x v="223"/>
    <x v="13"/>
    <x v="237"/>
    <n v="3.8"/>
    <s v="Credit Card"/>
    <x v="2"/>
    <x v="2"/>
    <x v="0"/>
    <n v="6454"/>
    <n v="2766"/>
  </r>
  <r>
    <n v="243"/>
    <x v="0"/>
    <x v="139"/>
    <x v="4"/>
    <s v="64GB"/>
    <s v="Blue"/>
    <x v="224"/>
    <x v="19"/>
    <x v="238"/>
    <n v="3.4"/>
    <s v="Cash"/>
    <x v="7"/>
    <x v="7"/>
    <x v="0"/>
    <n v="14815.499999999998"/>
    <n v="6349.5000000000018"/>
  </r>
  <r>
    <n v="244"/>
    <x v="3"/>
    <x v="140"/>
    <x v="5"/>
    <s v="256GB"/>
    <s v="White"/>
    <x v="225"/>
    <x v="3"/>
    <x v="239"/>
    <n v="3.2"/>
    <s v="Credit Card"/>
    <x v="10"/>
    <x v="10"/>
    <x v="0"/>
    <n v="9482.9"/>
    <n v="4064.1000000000004"/>
  </r>
  <r>
    <n v="245"/>
    <x v="1"/>
    <x v="127"/>
    <x v="8"/>
    <s v="128GB"/>
    <s v="Silver"/>
    <x v="226"/>
    <x v="7"/>
    <x v="227"/>
    <n v="3.8"/>
    <s v="Installments"/>
    <x v="5"/>
    <x v="5"/>
    <x v="0"/>
    <n v="2276.3999999999996"/>
    <n v="975.60000000000036"/>
  </r>
  <r>
    <n v="246"/>
    <x v="9"/>
    <x v="77"/>
    <x v="7"/>
    <s v="512GB"/>
    <s v="Blue"/>
    <x v="227"/>
    <x v="6"/>
    <x v="240"/>
    <n v="3.8"/>
    <s v="Installments"/>
    <x v="7"/>
    <x v="7"/>
    <x v="0"/>
    <n v="8979.5999999999985"/>
    <n v="3848.4000000000015"/>
  </r>
  <r>
    <n v="247"/>
    <x v="5"/>
    <x v="66"/>
    <x v="6"/>
    <s v="512GB"/>
    <s v="Green"/>
    <x v="228"/>
    <x v="19"/>
    <x v="241"/>
    <n v="3.7"/>
    <s v="Cash"/>
    <x v="2"/>
    <x v="2"/>
    <x v="0"/>
    <n v="11269.3"/>
    <n v="4829.7000000000007"/>
  </r>
  <r>
    <n v="248"/>
    <x v="9"/>
    <x v="57"/>
    <x v="1"/>
    <s v="64GB"/>
    <s v="Black"/>
    <x v="19"/>
    <x v="2"/>
    <x v="242"/>
    <n v="4.7"/>
    <s v="Cash"/>
    <x v="11"/>
    <x v="11"/>
    <x v="0"/>
    <n v="7222.5999999999995"/>
    <n v="3095.4000000000005"/>
  </r>
  <r>
    <n v="249"/>
    <x v="8"/>
    <x v="141"/>
    <x v="5"/>
    <s v="128GB"/>
    <s v="Green"/>
    <x v="201"/>
    <x v="1"/>
    <x v="243"/>
    <n v="3.5"/>
    <s v="Cash"/>
    <x v="4"/>
    <x v="4"/>
    <x v="0"/>
    <n v="7150.5"/>
    <n v="3064.5"/>
  </r>
  <r>
    <n v="250"/>
    <x v="9"/>
    <x v="51"/>
    <x v="6"/>
    <s v="512GB"/>
    <s v="Black"/>
    <x v="218"/>
    <x v="12"/>
    <x v="232"/>
    <n v="3"/>
    <s v="Debit Card"/>
    <x v="9"/>
    <x v="9"/>
    <x v="0"/>
    <n v="3674.9999999999995"/>
    <n v="1575.0000000000005"/>
  </r>
  <r>
    <n v="251"/>
    <x v="2"/>
    <x v="137"/>
    <x v="5"/>
    <s v="64GB"/>
    <s v="Black"/>
    <x v="229"/>
    <x v="7"/>
    <x v="244"/>
    <n v="4.5"/>
    <s v="Credit Card"/>
    <x v="2"/>
    <x v="2"/>
    <x v="0"/>
    <n v="3404.7999999999997"/>
    <n v="1459.2000000000003"/>
  </r>
  <r>
    <n v="252"/>
    <x v="6"/>
    <x v="15"/>
    <x v="8"/>
    <s v="512GB"/>
    <s v="Blue"/>
    <x v="230"/>
    <x v="12"/>
    <x v="245"/>
    <n v="4.4000000000000004"/>
    <s v="Online Payment"/>
    <x v="7"/>
    <x v="7"/>
    <x v="0"/>
    <n v="2072"/>
    <n v="888"/>
  </r>
  <r>
    <n v="253"/>
    <x v="2"/>
    <x v="104"/>
    <x v="5"/>
    <s v="256GB"/>
    <s v="Gold"/>
    <x v="231"/>
    <x v="2"/>
    <x v="246"/>
    <n v="4.5999999999999996"/>
    <s v="Cash"/>
    <x v="8"/>
    <x v="8"/>
    <x v="0"/>
    <n v="3596.6"/>
    <n v="1541.4"/>
  </r>
  <r>
    <n v="254"/>
    <x v="1"/>
    <x v="72"/>
    <x v="8"/>
    <s v="256GB"/>
    <s v="Gold"/>
    <x v="232"/>
    <x v="13"/>
    <x v="247"/>
    <n v="4.2"/>
    <s v="Online Payment"/>
    <x v="4"/>
    <x v="4"/>
    <x v="0"/>
    <n v="6216"/>
    <n v="2664"/>
  </r>
  <r>
    <n v="255"/>
    <x v="3"/>
    <x v="142"/>
    <x v="3"/>
    <s v="512GB"/>
    <s v="Black"/>
    <x v="233"/>
    <x v="2"/>
    <x v="248"/>
    <n v="4.3"/>
    <s v="Online Payment"/>
    <x v="4"/>
    <x v="4"/>
    <x v="0"/>
    <n v="2597"/>
    <n v="1113"/>
  </r>
  <r>
    <n v="256"/>
    <x v="9"/>
    <x v="83"/>
    <x v="8"/>
    <s v="128GB"/>
    <s v="White"/>
    <x v="234"/>
    <x v="1"/>
    <x v="249"/>
    <n v="3.3"/>
    <s v="Online Payment"/>
    <x v="8"/>
    <x v="8"/>
    <x v="0"/>
    <n v="2009.6999999999998"/>
    <n v="861.30000000000018"/>
  </r>
  <r>
    <n v="257"/>
    <x v="8"/>
    <x v="92"/>
    <x v="1"/>
    <s v="64GB"/>
    <s v="Green"/>
    <x v="192"/>
    <x v="11"/>
    <x v="124"/>
    <n v="3.3"/>
    <s v="Cash"/>
    <x v="3"/>
    <x v="3"/>
    <x v="0"/>
    <n v="4057.2"/>
    <n v="1738.8000000000002"/>
  </r>
  <r>
    <n v="258"/>
    <x v="5"/>
    <x v="143"/>
    <x v="6"/>
    <s v="512GB"/>
    <s v="Blue"/>
    <x v="235"/>
    <x v="6"/>
    <x v="250"/>
    <n v="3.3"/>
    <s v="Cash"/>
    <x v="9"/>
    <x v="9"/>
    <x v="0"/>
    <n v="7467.5999999999995"/>
    <n v="3200.4000000000005"/>
  </r>
  <r>
    <n v="259"/>
    <x v="4"/>
    <x v="90"/>
    <x v="2"/>
    <s v="64GB"/>
    <s v="Blue"/>
    <x v="236"/>
    <x v="13"/>
    <x v="251"/>
    <n v="4.3"/>
    <s v="Online Payment"/>
    <x v="6"/>
    <x v="6"/>
    <x v="0"/>
    <n v="6902"/>
    <n v="2958"/>
  </r>
  <r>
    <n v="260"/>
    <x v="1"/>
    <x v="82"/>
    <x v="5"/>
    <s v="64GB"/>
    <s v="Gold"/>
    <x v="76"/>
    <x v="18"/>
    <x v="252"/>
    <n v="3.5"/>
    <s v="Online Payment"/>
    <x v="10"/>
    <x v="10"/>
    <x v="0"/>
    <n v="11550"/>
    <n v="4950"/>
  </r>
  <r>
    <n v="261"/>
    <x v="5"/>
    <x v="101"/>
    <x v="8"/>
    <s v="64GB"/>
    <s v="Silver"/>
    <x v="237"/>
    <x v="11"/>
    <x v="253"/>
    <n v="3.7"/>
    <s v="Cash"/>
    <x v="6"/>
    <x v="6"/>
    <x v="0"/>
    <n v="13645.8"/>
    <n v="5848.2000000000007"/>
  </r>
  <r>
    <n v="262"/>
    <x v="8"/>
    <x v="132"/>
    <x v="2"/>
    <s v="128GB"/>
    <s v="Green"/>
    <x v="238"/>
    <x v="17"/>
    <x v="254"/>
    <n v="3.1"/>
    <s v="Credit Card"/>
    <x v="4"/>
    <x v="4"/>
    <x v="0"/>
    <n v="15007.999999999998"/>
    <n v="6432.0000000000018"/>
  </r>
  <r>
    <n v="263"/>
    <x v="1"/>
    <x v="30"/>
    <x v="9"/>
    <s v="64GB"/>
    <s v="White"/>
    <x v="239"/>
    <x v="14"/>
    <x v="255"/>
    <n v="3.1"/>
    <s v="Online Payment"/>
    <x v="2"/>
    <x v="2"/>
    <x v="0"/>
    <n v="9909.9"/>
    <n v="4247.1000000000004"/>
  </r>
  <r>
    <n v="264"/>
    <x v="8"/>
    <x v="67"/>
    <x v="2"/>
    <s v="128GB"/>
    <s v="Blue"/>
    <x v="240"/>
    <x v="6"/>
    <x v="256"/>
    <n v="4.7"/>
    <s v="Installments"/>
    <x v="10"/>
    <x v="10"/>
    <x v="0"/>
    <n v="4880.3999999999996"/>
    <n v="2091.6000000000004"/>
  </r>
  <r>
    <n v="265"/>
    <x v="7"/>
    <x v="110"/>
    <x v="8"/>
    <s v="64GB"/>
    <s v="Gold"/>
    <x v="241"/>
    <x v="2"/>
    <x v="257"/>
    <n v="4.2"/>
    <s v="Installments"/>
    <x v="6"/>
    <x v="6"/>
    <x v="0"/>
    <n v="6570.9"/>
    <n v="2816.1000000000004"/>
  </r>
  <r>
    <n v="266"/>
    <x v="2"/>
    <x v="45"/>
    <x v="0"/>
    <s v="64GB"/>
    <s v="Silver"/>
    <x v="194"/>
    <x v="11"/>
    <x v="205"/>
    <n v="3.5"/>
    <s v="Online Payment"/>
    <x v="6"/>
    <x v="6"/>
    <x v="0"/>
    <n v="13696.199999999999"/>
    <n v="5869.8000000000011"/>
  </r>
  <r>
    <n v="267"/>
    <x v="7"/>
    <x v="16"/>
    <x v="3"/>
    <s v="128GB"/>
    <s v="White"/>
    <x v="242"/>
    <x v="14"/>
    <x v="258"/>
    <n v="3.2"/>
    <s v="Debit Card"/>
    <x v="10"/>
    <x v="10"/>
    <x v="0"/>
    <n v="9955.4"/>
    <n v="4266.6000000000004"/>
  </r>
  <r>
    <n v="268"/>
    <x v="5"/>
    <x v="53"/>
    <x v="8"/>
    <s v="512GB"/>
    <s v="Silver"/>
    <x v="243"/>
    <x v="6"/>
    <x v="259"/>
    <n v="4.0999999999999996"/>
    <s v="Credit Card"/>
    <x v="7"/>
    <x v="7"/>
    <x v="0"/>
    <n v="10474.799999999999"/>
    <n v="4489.2000000000007"/>
  </r>
  <r>
    <n v="269"/>
    <x v="7"/>
    <x v="144"/>
    <x v="9"/>
    <s v="128GB"/>
    <s v="Green"/>
    <x v="180"/>
    <x v="9"/>
    <x v="260"/>
    <n v="4.3"/>
    <s v="Online Payment"/>
    <x v="1"/>
    <x v="1"/>
    <x v="0"/>
    <n v="1501.5"/>
    <n v="643.5"/>
  </r>
  <r>
    <n v="270"/>
    <x v="7"/>
    <x v="70"/>
    <x v="4"/>
    <s v="128GB"/>
    <s v="Blue"/>
    <x v="244"/>
    <x v="4"/>
    <x v="261"/>
    <n v="4"/>
    <s v="Credit Card"/>
    <x v="9"/>
    <x v="9"/>
    <x v="0"/>
    <n v="5684"/>
    <n v="2436"/>
  </r>
  <r>
    <n v="271"/>
    <x v="2"/>
    <x v="2"/>
    <x v="7"/>
    <s v="128GB"/>
    <s v="White"/>
    <x v="245"/>
    <x v="14"/>
    <x v="262"/>
    <n v="3.6"/>
    <s v="Online Payment"/>
    <x v="10"/>
    <x v="10"/>
    <x v="0"/>
    <n v="9700.5999999999985"/>
    <n v="4157.4000000000015"/>
  </r>
  <r>
    <n v="272"/>
    <x v="8"/>
    <x v="64"/>
    <x v="5"/>
    <s v="128GB"/>
    <s v="Silver"/>
    <x v="246"/>
    <x v="2"/>
    <x v="263"/>
    <n v="4.8"/>
    <s v="Cash"/>
    <x v="8"/>
    <x v="8"/>
    <x v="0"/>
    <n v="7036.4"/>
    <n v="3015.6000000000004"/>
  </r>
  <r>
    <n v="273"/>
    <x v="0"/>
    <x v="9"/>
    <x v="5"/>
    <s v="128GB"/>
    <s v="White"/>
    <x v="247"/>
    <x v="4"/>
    <x v="264"/>
    <n v="4"/>
    <s v="Installments"/>
    <x v="2"/>
    <x v="2"/>
    <x v="0"/>
    <n v="1831.1999999999998"/>
    <n v="784.80000000000018"/>
  </r>
  <r>
    <n v="274"/>
    <x v="7"/>
    <x v="69"/>
    <x v="2"/>
    <s v="128GB"/>
    <s v="Blue"/>
    <x v="248"/>
    <x v="19"/>
    <x v="265"/>
    <n v="3.7"/>
    <s v="Installments"/>
    <x v="3"/>
    <x v="3"/>
    <x v="0"/>
    <n v="8651.2999999999993"/>
    <n v="3707.7000000000007"/>
  </r>
  <r>
    <n v="275"/>
    <x v="1"/>
    <x v="145"/>
    <x v="5"/>
    <s v="256GB"/>
    <s v="Silver"/>
    <x v="249"/>
    <x v="17"/>
    <x v="266"/>
    <n v="3.5"/>
    <s v="Online Payment"/>
    <x v="5"/>
    <x v="5"/>
    <x v="0"/>
    <n v="15243.199999999999"/>
    <n v="6532.8000000000011"/>
  </r>
  <r>
    <n v="276"/>
    <x v="9"/>
    <x v="57"/>
    <x v="6"/>
    <s v="256GB"/>
    <s v="Green"/>
    <x v="250"/>
    <x v="11"/>
    <x v="267"/>
    <n v="3.2"/>
    <s v="Credit Card"/>
    <x v="5"/>
    <x v="5"/>
    <x v="0"/>
    <n v="8656.1999999999989"/>
    <n v="3709.8000000000011"/>
  </r>
  <r>
    <n v="277"/>
    <x v="3"/>
    <x v="146"/>
    <x v="3"/>
    <s v="64GB"/>
    <s v="Gold"/>
    <x v="251"/>
    <x v="5"/>
    <x v="268"/>
    <n v="3.2"/>
    <s v="Cash"/>
    <x v="8"/>
    <x v="8"/>
    <x v="0"/>
    <n v="7727.9999999999991"/>
    <n v="3312.0000000000009"/>
  </r>
  <r>
    <n v="278"/>
    <x v="0"/>
    <x v="44"/>
    <x v="6"/>
    <s v="256GB"/>
    <s v="White"/>
    <x v="252"/>
    <x v="6"/>
    <x v="269"/>
    <n v="3.2"/>
    <s v="Debit Card"/>
    <x v="9"/>
    <x v="9"/>
    <x v="0"/>
    <n v="5418"/>
    <n v="2322"/>
  </r>
  <r>
    <n v="279"/>
    <x v="1"/>
    <x v="82"/>
    <x v="4"/>
    <s v="64GB"/>
    <s v="White"/>
    <x v="235"/>
    <x v="7"/>
    <x v="270"/>
    <n v="3.4"/>
    <s v="Credit Card"/>
    <x v="3"/>
    <x v="3"/>
    <x v="0"/>
    <n v="2489.1999999999998"/>
    <n v="1066.8000000000002"/>
  </r>
  <r>
    <n v="280"/>
    <x v="2"/>
    <x v="135"/>
    <x v="4"/>
    <s v="64GB"/>
    <s v="Black"/>
    <x v="253"/>
    <x v="7"/>
    <x v="271"/>
    <n v="3.7"/>
    <s v="Installments"/>
    <x v="9"/>
    <x v="9"/>
    <x v="0"/>
    <n v="3721.2"/>
    <n v="1594.8000000000002"/>
  </r>
  <r>
    <n v="281"/>
    <x v="4"/>
    <x v="147"/>
    <x v="4"/>
    <s v="512GB"/>
    <s v="White"/>
    <x v="254"/>
    <x v="9"/>
    <x v="272"/>
    <n v="4.9000000000000004"/>
    <s v="Credit Card"/>
    <x v="9"/>
    <x v="9"/>
    <x v="0"/>
    <n v="2328.8999999999996"/>
    <n v="998.10000000000036"/>
  </r>
  <r>
    <n v="282"/>
    <x v="8"/>
    <x v="132"/>
    <x v="8"/>
    <s v="64GB"/>
    <s v="White"/>
    <x v="255"/>
    <x v="7"/>
    <x v="273"/>
    <n v="4.4000000000000004"/>
    <s v="Cash"/>
    <x v="3"/>
    <x v="3"/>
    <x v="0"/>
    <n v="1884.3999999999999"/>
    <n v="807.60000000000014"/>
  </r>
  <r>
    <n v="283"/>
    <x v="8"/>
    <x v="132"/>
    <x v="0"/>
    <s v="128GB"/>
    <s v="Gold"/>
    <x v="256"/>
    <x v="1"/>
    <x v="274"/>
    <n v="3.1"/>
    <s v="Online Payment"/>
    <x v="6"/>
    <x v="6"/>
    <x v="0"/>
    <n v="8857.7999999999993"/>
    <n v="3796.2000000000007"/>
  </r>
  <r>
    <n v="284"/>
    <x v="0"/>
    <x v="59"/>
    <x v="7"/>
    <s v="128GB"/>
    <s v="Gold"/>
    <x v="257"/>
    <x v="14"/>
    <x v="275"/>
    <n v="4.3"/>
    <s v="Cash"/>
    <x v="2"/>
    <x v="2"/>
    <x v="0"/>
    <n v="11811.8"/>
    <n v="5062.2000000000007"/>
  </r>
  <r>
    <n v="285"/>
    <x v="4"/>
    <x v="80"/>
    <x v="1"/>
    <s v="256GB"/>
    <s v="Green"/>
    <x v="258"/>
    <x v="1"/>
    <x v="276"/>
    <n v="3.6"/>
    <s v="Cash"/>
    <x v="1"/>
    <x v="1"/>
    <x v="0"/>
    <n v="4202.0999999999995"/>
    <n v="1800.9000000000005"/>
  </r>
  <r>
    <n v="286"/>
    <x v="5"/>
    <x v="101"/>
    <x v="2"/>
    <s v="512GB"/>
    <s v="Blue"/>
    <x v="259"/>
    <x v="14"/>
    <x v="277"/>
    <n v="3.6"/>
    <s v="Debit Card"/>
    <x v="1"/>
    <x v="1"/>
    <x v="0"/>
    <n v="13158.599999999999"/>
    <n v="5639.4000000000015"/>
  </r>
  <r>
    <n v="287"/>
    <x v="4"/>
    <x v="148"/>
    <x v="3"/>
    <s v="256GB"/>
    <s v="White"/>
    <x v="260"/>
    <x v="1"/>
    <x v="278"/>
    <n v="4.9000000000000004"/>
    <s v="Online Payment"/>
    <x v="10"/>
    <x v="10"/>
    <x v="0"/>
    <n v="2457"/>
    <n v="1053"/>
  </r>
  <r>
    <n v="288"/>
    <x v="3"/>
    <x v="14"/>
    <x v="1"/>
    <s v="256GB"/>
    <s v="Gold"/>
    <x v="261"/>
    <x v="5"/>
    <x v="279"/>
    <n v="5"/>
    <s v="Installments"/>
    <x v="1"/>
    <x v="1"/>
    <x v="0"/>
    <n v="12201"/>
    <n v="5229"/>
  </r>
  <r>
    <n v="289"/>
    <x v="5"/>
    <x v="101"/>
    <x v="5"/>
    <s v="128GB"/>
    <s v="White"/>
    <x v="262"/>
    <x v="14"/>
    <x v="280"/>
    <n v="4.2"/>
    <s v="Installments"/>
    <x v="4"/>
    <x v="4"/>
    <x v="0"/>
    <n v="3139.5"/>
    <n v="1345.5"/>
  </r>
  <r>
    <n v="290"/>
    <x v="7"/>
    <x v="149"/>
    <x v="0"/>
    <s v="64GB"/>
    <s v="White"/>
    <x v="263"/>
    <x v="3"/>
    <x v="281"/>
    <n v="4.2"/>
    <s v="Credit Card"/>
    <x v="10"/>
    <x v="10"/>
    <x v="0"/>
    <n v="13592.599999999999"/>
    <n v="5825.4000000000015"/>
  </r>
  <r>
    <n v="291"/>
    <x v="6"/>
    <x v="93"/>
    <x v="6"/>
    <s v="64GB"/>
    <s v="White"/>
    <x v="264"/>
    <x v="5"/>
    <x v="282"/>
    <n v="3.1"/>
    <s v="Credit Card"/>
    <x v="6"/>
    <x v="6"/>
    <x v="0"/>
    <n v="6520.5"/>
    <n v="2794.5"/>
  </r>
  <r>
    <n v="292"/>
    <x v="7"/>
    <x v="69"/>
    <x v="6"/>
    <s v="128GB"/>
    <s v="Green"/>
    <x v="265"/>
    <x v="18"/>
    <x v="283"/>
    <n v="4.5999999999999996"/>
    <s v="Online Payment"/>
    <x v="4"/>
    <x v="4"/>
    <x v="0"/>
    <n v="8262.1"/>
    <n v="3540.8999999999996"/>
  </r>
  <r>
    <n v="293"/>
    <x v="9"/>
    <x v="77"/>
    <x v="8"/>
    <s v="64GB"/>
    <s v="Silver"/>
    <x v="266"/>
    <x v="2"/>
    <x v="284"/>
    <n v="3.1"/>
    <s v="Credit Card"/>
    <x v="5"/>
    <x v="5"/>
    <x v="0"/>
    <n v="2391.1999999999998"/>
    <n v="1024.8000000000002"/>
  </r>
  <r>
    <n v="294"/>
    <x v="4"/>
    <x v="134"/>
    <x v="3"/>
    <s v="64GB"/>
    <s v="Green"/>
    <x v="267"/>
    <x v="9"/>
    <x v="285"/>
    <n v="3.3"/>
    <s v="Cash"/>
    <x v="9"/>
    <x v="9"/>
    <x v="0"/>
    <n v="2639.7"/>
    <n v="1131.3000000000002"/>
  </r>
  <r>
    <n v="295"/>
    <x v="2"/>
    <x v="135"/>
    <x v="4"/>
    <s v="64GB"/>
    <s v="Silver"/>
    <x v="268"/>
    <x v="6"/>
    <x v="286"/>
    <n v="4.2"/>
    <s v="Online Payment"/>
    <x v="2"/>
    <x v="2"/>
    <x v="0"/>
    <n v="3376.7999999999997"/>
    <n v="1447.2000000000003"/>
  </r>
  <r>
    <n v="296"/>
    <x v="5"/>
    <x v="66"/>
    <x v="4"/>
    <s v="64GB"/>
    <s v="White"/>
    <x v="269"/>
    <x v="11"/>
    <x v="287"/>
    <n v="4.9000000000000004"/>
    <s v="Installments"/>
    <x v="3"/>
    <x v="3"/>
    <x v="0"/>
    <n v="8933.4"/>
    <n v="3828.6000000000004"/>
  </r>
  <r>
    <n v="297"/>
    <x v="1"/>
    <x v="74"/>
    <x v="8"/>
    <s v="128GB"/>
    <s v="Black"/>
    <x v="270"/>
    <x v="11"/>
    <x v="288"/>
    <n v="3.7"/>
    <s v="Cash"/>
    <x v="4"/>
    <x v="4"/>
    <x v="0"/>
    <n v="9298.7999999999993"/>
    <n v="3985.2000000000007"/>
  </r>
  <r>
    <n v="298"/>
    <x v="7"/>
    <x v="150"/>
    <x v="6"/>
    <s v="64GB"/>
    <s v="Black"/>
    <x v="212"/>
    <x v="2"/>
    <x v="289"/>
    <n v="3.3"/>
    <s v="Online Payment"/>
    <x v="8"/>
    <x v="8"/>
    <x v="0"/>
    <n v="3341.7999999999997"/>
    <n v="1432.2000000000003"/>
  </r>
  <r>
    <n v="299"/>
    <x v="9"/>
    <x v="151"/>
    <x v="6"/>
    <s v="64GB"/>
    <s v="Green"/>
    <x v="271"/>
    <x v="5"/>
    <x v="290"/>
    <n v="5"/>
    <s v="Cash"/>
    <x v="11"/>
    <x v="11"/>
    <x v="0"/>
    <n v="8767.5"/>
    <n v="3757.5"/>
  </r>
  <r>
    <n v="300"/>
    <x v="6"/>
    <x v="21"/>
    <x v="4"/>
    <s v="128GB"/>
    <s v="Silver"/>
    <x v="239"/>
    <x v="14"/>
    <x v="255"/>
    <n v="4.8"/>
    <s v="Debit Card"/>
    <x v="10"/>
    <x v="10"/>
    <x v="0"/>
    <n v="9909.9"/>
    <n v="4247.1000000000004"/>
  </r>
  <r>
    <n v="301"/>
    <x v="3"/>
    <x v="142"/>
    <x v="6"/>
    <s v="256GB"/>
    <s v="Green"/>
    <x v="97"/>
    <x v="3"/>
    <x v="291"/>
    <n v="4.5999999999999996"/>
    <s v="Online Payment"/>
    <x v="11"/>
    <x v="11"/>
    <x v="0"/>
    <n v="16691.5"/>
    <n v="7153.5"/>
  </r>
  <r>
    <n v="302"/>
    <x v="9"/>
    <x v="152"/>
    <x v="6"/>
    <s v="256GB"/>
    <s v="Green"/>
    <x v="272"/>
    <x v="6"/>
    <x v="234"/>
    <n v="4.8"/>
    <s v="Credit Card"/>
    <x v="10"/>
    <x v="10"/>
    <x v="0"/>
    <n v="5182.7999999999993"/>
    <n v="2221.2000000000007"/>
  </r>
  <r>
    <n v="303"/>
    <x v="6"/>
    <x v="22"/>
    <x v="9"/>
    <s v="64GB"/>
    <s v="Blue"/>
    <x v="273"/>
    <x v="11"/>
    <x v="292"/>
    <n v="4.5999999999999996"/>
    <s v="Installments"/>
    <x v="4"/>
    <x v="4"/>
    <x v="0"/>
    <n v="11692.8"/>
    <n v="5011.2000000000007"/>
  </r>
  <r>
    <n v="304"/>
    <x v="4"/>
    <x v="17"/>
    <x v="3"/>
    <s v="256GB"/>
    <s v="Green"/>
    <x v="225"/>
    <x v="8"/>
    <x v="293"/>
    <n v="4.3"/>
    <s v="Installments"/>
    <x v="6"/>
    <x v="6"/>
    <x v="0"/>
    <n v="998.19999999999993"/>
    <n v="427.80000000000007"/>
  </r>
  <r>
    <n v="305"/>
    <x v="5"/>
    <x v="133"/>
    <x v="1"/>
    <s v="256GB"/>
    <s v="Gold"/>
    <x v="65"/>
    <x v="7"/>
    <x v="294"/>
    <n v="4.3"/>
    <s v="Credit Card"/>
    <x v="7"/>
    <x v="7"/>
    <x v="0"/>
    <n v="2231.6"/>
    <n v="956.40000000000009"/>
  </r>
  <r>
    <n v="306"/>
    <x v="9"/>
    <x v="23"/>
    <x v="0"/>
    <s v="256GB"/>
    <s v="Silver"/>
    <x v="274"/>
    <x v="11"/>
    <x v="295"/>
    <n v="5"/>
    <s v="Debit Card"/>
    <x v="6"/>
    <x v="6"/>
    <x v="0"/>
    <n v="6048"/>
    <n v="2592"/>
  </r>
  <r>
    <n v="307"/>
    <x v="5"/>
    <x v="119"/>
    <x v="1"/>
    <s v="64GB"/>
    <s v="Silver"/>
    <x v="275"/>
    <x v="6"/>
    <x v="296"/>
    <n v="4.4000000000000004"/>
    <s v="Installments"/>
    <x v="11"/>
    <x v="11"/>
    <x v="0"/>
    <n v="11625.599999999999"/>
    <n v="4982.4000000000015"/>
  </r>
  <r>
    <n v="308"/>
    <x v="0"/>
    <x v="59"/>
    <x v="5"/>
    <s v="64GB"/>
    <s v="Black"/>
    <x v="276"/>
    <x v="1"/>
    <x v="297"/>
    <n v="5"/>
    <s v="Debit Card"/>
    <x v="10"/>
    <x v="10"/>
    <x v="0"/>
    <n v="7011.9"/>
    <n v="3005.1000000000004"/>
  </r>
  <r>
    <n v="309"/>
    <x v="4"/>
    <x v="90"/>
    <x v="3"/>
    <s v="256GB"/>
    <s v="Blue"/>
    <x v="221"/>
    <x v="14"/>
    <x v="298"/>
    <n v="4.5999999999999996"/>
    <s v="Online Payment"/>
    <x v="7"/>
    <x v="7"/>
    <x v="0"/>
    <n v="9746.0999999999985"/>
    <n v="4176.9000000000015"/>
  </r>
  <r>
    <n v="310"/>
    <x v="2"/>
    <x v="45"/>
    <x v="1"/>
    <s v="128GB"/>
    <s v="Green"/>
    <x v="277"/>
    <x v="4"/>
    <x v="299"/>
    <n v="4.5999999999999996"/>
    <s v="Online Payment"/>
    <x v="2"/>
    <x v="2"/>
    <x v="0"/>
    <n v="5964"/>
    <n v="2556"/>
  </r>
  <r>
    <n v="311"/>
    <x v="9"/>
    <x v="56"/>
    <x v="0"/>
    <s v="64GB"/>
    <s v="Gold"/>
    <x v="278"/>
    <x v="7"/>
    <x v="300"/>
    <n v="4.5"/>
    <s v="Debit Card"/>
    <x v="1"/>
    <x v="1"/>
    <x v="0"/>
    <n v="2962.3999999999996"/>
    <n v="1269.6000000000004"/>
  </r>
  <r>
    <n v="312"/>
    <x v="3"/>
    <x v="153"/>
    <x v="8"/>
    <s v="64GB"/>
    <s v="White"/>
    <x v="279"/>
    <x v="8"/>
    <x v="301"/>
    <n v="3.1"/>
    <s v="Cash"/>
    <x v="0"/>
    <x v="0"/>
    <x v="0"/>
    <n v="1969.8"/>
    <n v="844.2"/>
  </r>
  <r>
    <n v="313"/>
    <x v="5"/>
    <x v="101"/>
    <x v="7"/>
    <s v="128GB"/>
    <s v="Black"/>
    <x v="280"/>
    <x v="11"/>
    <x v="302"/>
    <n v="3.9"/>
    <s v="Credit Card"/>
    <x v="0"/>
    <x v="0"/>
    <x v="0"/>
    <n v="4712.3999999999996"/>
    <n v="2019.6000000000004"/>
  </r>
  <r>
    <n v="314"/>
    <x v="2"/>
    <x v="104"/>
    <x v="4"/>
    <s v="256GB"/>
    <s v="Gold"/>
    <x v="281"/>
    <x v="8"/>
    <x v="303"/>
    <n v="4"/>
    <s v="Online Payment"/>
    <x v="3"/>
    <x v="3"/>
    <x v="0"/>
    <n v="1541.3999999999999"/>
    <n v="660.60000000000014"/>
  </r>
  <r>
    <n v="315"/>
    <x v="8"/>
    <x v="19"/>
    <x v="5"/>
    <s v="512GB"/>
    <s v="White"/>
    <x v="282"/>
    <x v="6"/>
    <x v="304"/>
    <n v="3.8"/>
    <s v="Credit Card"/>
    <x v="4"/>
    <x v="4"/>
    <x v="0"/>
    <n v="8736"/>
    <n v="3744"/>
  </r>
  <r>
    <n v="316"/>
    <x v="2"/>
    <x v="86"/>
    <x v="0"/>
    <s v="256GB"/>
    <s v="Black"/>
    <x v="283"/>
    <x v="16"/>
    <x v="305"/>
    <n v="3.7"/>
    <s v="Online Payment"/>
    <x v="7"/>
    <x v="7"/>
    <x v="0"/>
    <n v="377.29999999999995"/>
    <n v="161.70000000000005"/>
  </r>
  <r>
    <n v="317"/>
    <x v="2"/>
    <x v="85"/>
    <x v="2"/>
    <s v="64GB"/>
    <s v="Gold"/>
    <x v="284"/>
    <x v="19"/>
    <x v="306"/>
    <n v="4.9000000000000004"/>
    <s v="Cash"/>
    <x v="8"/>
    <x v="8"/>
    <x v="0"/>
    <n v="10817.099999999999"/>
    <n v="4635.9000000000015"/>
  </r>
  <r>
    <n v="318"/>
    <x v="1"/>
    <x v="4"/>
    <x v="3"/>
    <s v="128GB"/>
    <s v="Gold"/>
    <x v="139"/>
    <x v="13"/>
    <x v="307"/>
    <n v="3.2"/>
    <s v="Debit Card"/>
    <x v="1"/>
    <x v="1"/>
    <x v="0"/>
    <n v="3500"/>
    <n v="1500"/>
  </r>
  <r>
    <n v="319"/>
    <x v="7"/>
    <x v="154"/>
    <x v="5"/>
    <s v="64GB"/>
    <s v="Silver"/>
    <x v="285"/>
    <x v="14"/>
    <x v="308"/>
    <n v="3.1"/>
    <s v="Cash"/>
    <x v="4"/>
    <x v="4"/>
    <x v="0"/>
    <n v="5578.2999999999993"/>
    <n v="2390.7000000000007"/>
  </r>
  <r>
    <n v="320"/>
    <x v="2"/>
    <x v="29"/>
    <x v="5"/>
    <s v="512GB"/>
    <s v="Black"/>
    <x v="286"/>
    <x v="17"/>
    <x v="309"/>
    <n v="4.7"/>
    <s v="Installments"/>
    <x v="10"/>
    <x v="10"/>
    <x v="0"/>
    <n v="11547.199999999999"/>
    <n v="4948.8000000000011"/>
  </r>
  <r>
    <n v="321"/>
    <x v="2"/>
    <x v="155"/>
    <x v="9"/>
    <s v="512GB"/>
    <s v="Green"/>
    <x v="252"/>
    <x v="4"/>
    <x v="310"/>
    <n v="3.5"/>
    <s v="Credit Card"/>
    <x v="10"/>
    <x v="10"/>
    <x v="0"/>
    <n v="3611.9999999999995"/>
    <n v="1548.0000000000005"/>
  </r>
  <r>
    <n v="322"/>
    <x v="4"/>
    <x v="156"/>
    <x v="3"/>
    <s v="512GB"/>
    <s v="Silver"/>
    <x v="287"/>
    <x v="16"/>
    <x v="311"/>
    <n v="4.3"/>
    <s v="Online Payment"/>
    <x v="11"/>
    <x v="11"/>
    <x v="0"/>
    <n v="211.39999999999998"/>
    <n v="90.600000000000023"/>
  </r>
  <r>
    <n v="323"/>
    <x v="6"/>
    <x v="52"/>
    <x v="8"/>
    <s v="128GB"/>
    <s v="Green"/>
    <x v="45"/>
    <x v="4"/>
    <x v="312"/>
    <n v="4.9000000000000004"/>
    <s v="Online Payment"/>
    <x v="11"/>
    <x v="11"/>
    <x v="0"/>
    <n v="3136"/>
    <n v="1344"/>
  </r>
  <r>
    <n v="324"/>
    <x v="1"/>
    <x v="108"/>
    <x v="1"/>
    <s v="128GB"/>
    <s v="Blue"/>
    <x v="188"/>
    <x v="0"/>
    <x v="313"/>
    <n v="3.6"/>
    <s v="Credit Card"/>
    <x v="9"/>
    <x v="9"/>
    <x v="0"/>
    <n v="6328"/>
    <n v="2712"/>
  </r>
  <r>
    <n v="325"/>
    <x v="9"/>
    <x v="51"/>
    <x v="3"/>
    <s v="256GB"/>
    <s v="Blue"/>
    <x v="288"/>
    <x v="4"/>
    <x v="314"/>
    <n v="3.9"/>
    <s v="Cash"/>
    <x v="2"/>
    <x v="2"/>
    <x v="0"/>
    <n v="2721.6"/>
    <n v="1166.4000000000001"/>
  </r>
  <r>
    <n v="326"/>
    <x v="7"/>
    <x v="149"/>
    <x v="3"/>
    <s v="512GB"/>
    <s v="White"/>
    <x v="289"/>
    <x v="13"/>
    <x v="315"/>
    <n v="5"/>
    <s v="Cash"/>
    <x v="3"/>
    <x v="3"/>
    <x v="0"/>
    <n v="5999"/>
    <n v="2571"/>
  </r>
  <r>
    <n v="327"/>
    <x v="9"/>
    <x v="157"/>
    <x v="6"/>
    <s v="512GB"/>
    <s v="Blue"/>
    <x v="290"/>
    <x v="0"/>
    <x v="316"/>
    <n v="3.8"/>
    <s v="Debit Card"/>
    <x v="3"/>
    <x v="3"/>
    <x v="0"/>
    <n v="20762"/>
    <n v="8898"/>
  </r>
  <r>
    <n v="328"/>
    <x v="3"/>
    <x v="14"/>
    <x v="9"/>
    <s v="512GB"/>
    <s v="Silver"/>
    <x v="291"/>
    <x v="18"/>
    <x v="317"/>
    <n v="4.5999999999999996"/>
    <s v="Debit Card"/>
    <x v="3"/>
    <x v="3"/>
    <x v="0"/>
    <n v="6891.5"/>
    <n v="2953.5"/>
  </r>
  <r>
    <n v="329"/>
    <x v="7"/>
    <x v="89"/>
    <x v="0"/>
    <s v="64GB"/>
    <s v="Gold"/>
    <x v="292"/>
    <x v="15"/>
    <x v="318"/>
    <n v="4.5999999999999996"/>
    <s v="Debit Card"/>
    <x v="2"/>
    <x v="2"/>
    <x v="0"/>
    <n v="5103"/>
    <n v="2187"/>
  </r>
  <r>
    <n v="330"/>
    <x v="4"/>
    <x v="90"/>
    <x v="1"/>
    <s v="512GB"/>
    <s v="Gold"/>
    <x v="293"/>
    <x v="13"/>
    <x v="319"/>
    <n v="3.8"/>
    <s v="Cash"/>
    <x v="11"/>
    <x v="11"/>
    <x v="0"/>
    <n v="5425"/>
    <n v="2325"/>
  </r>
  <r>
    <n v="331"/>
    <x v="0"/>
    <x v="0"/>
    <x v="3"/>
    <s v="256GB"/>
    <s v="Silver"/>
    <x v="110"/>
    <x v="9"/>
    <x v="320"/>
    <n v="4.3"/>
    <s v="Cash"/>
    <x v="5"/>
    <x v="5"/>
    <x v="0"/>
    <n v="1201.1999999999998"/>
    <n v="514.80000000000018"/>
  </r>
  <r>
    <n v="332"/>
    <x v="5"/>
    <x v="31"/>
    <x v="9"/>
    <s v="64GB"/>
    <s v="White"/>
    <x v="294"/>
    <x v="6"/>
    <x v="321"/>
    <n v="3"/>
    <s v="Installments"/>
    <x v="8"/>
    <x v="8"/>
    <x v="0"/>
    <n v="6358.7999999999993"/>
    <n v="2725.2000000000007"/>
  </r>
  <r>
    <n v="333"/>
    <x v="1"/>
    <x v="30"/>
    <x v="5"/>
    <s v="512GB"/>
    <s v="Gold"/>
    <x v="295"/>
    <x v="1"/>
    <x v="322"/>
    <n v="3.7"/>
    <s v="Credit Card"/>
    <x v="4"/>
    <x v="4"/>
    <x v="0"/>
    <n v="6092.0999999999995"/>
    <n v="2610.9000000000005"/>
  </r>
  <r>
    <n v="334"/>
    <x v="2"/>
    <x v="158"/>
    <x v="4"/>
    <s v="512GB"/>
    <s v="Blue"/>
    <x v="296"/>
    <x v="4"/>
    <x v="323"/>
    <n v="3.3"/>
    <s v="Debit Card"/>
    <x v="5"/>
    <x v="5"/>
    <x v="0"/>
    <n v="1792"/>
    <n v="768"/>
  </r>
  <r>
    <n v="335"/>
    <x v="0"/>
    <x v="0"/>
    <x v="2"/>
    <s v="512GB"/>
    <s v="Silver"/>
    <x v="297"/>
    <x v="11"/>
    <x v="324"/>
    <n v="5"/>
    <s v="Online Payment"/>
    <x v="3"/>
    <x v="3"/>
    <x v="0"/>
    <n v="7081.2"/>
    <n v="3034.8"/>
  </r>
  <r>
    <n v="336"/>
    <x v="6"/>
    <x v="49"/>
    <x v="2"/>
    <s v="64GB"/>
    <s v="Silver"/>
    <x v="298"/>
    <x v="6"/>
    <x v="325"/>
    <n v="3.8"/>
    <s v="Credit Card"/>
    <x v="10"/>
    <x v="10"/>
    <x v="0"/>
    <n v="8971.1999999999989"/>
    <n v="3844.8000000000011"/>
  </r>
  <r>
    <n v="337"/>
    <x v="2"/>
    <x v="155"/>
    <x v="3"/>
    <s v="512GB"/>
    <s v="Silver"/>
    <x v="299"/>
    <x v="15"/>
    <x v="326"/>
    <n v="3.3"/>
    <s v="Debit Card"/>
    <x v="0"/>
    <x v="0"/>
    <x v="0"/>
    <n v="4279.8"/>
    <n v="1834.1999999999998"/>
  </r>
  <r>
    <n v="338"/>
    <x v="0"/>
    <x v="28"/>
    <x v="3"/>
    <s v="512GB"/>
    <s v="Silver"/>
    <x v="230"/>
    <x v="2"/>
    <x v="327"/>
    <n v="3.9"/>
    <s v="Installments"/>
    <x v="5"/>
    <x v="5"/>
    <x v="0"/>
    <n v="2900.7999999999997"/>
    <n v="1243.2000000000003"/>
  </r>
  <r>
    <n v="339"/>
    <x v="3"/>
    <x v="98"/>
    <x v="2"/>
    <s v="64GB"/>
    <s v="Black"/>
    <x v="300"/>
    <x v="12"/>
    <x v="328"/>
    <n v="4"/>
    <s v="Installments"/>
    <x v="0"/>
    <x v="0"/>
    <x v="0"/>
    <n v="5029.5"/>
    <n v="2155.5"/>
  </r>
  <r>
    <n v="340"/>
    <x v="8"/>
    <x v="159"/>
    <x v="0"/>
    <s v="128GB"/>
    <s v="White"/>
    <x v="301"/>
    <x v="14"/>
    <x v="329"/>
    <n v="4.5999999999999996"/>
    <s v="Installments"/>
    <x v="2"/>
    <x v="2"/>
    <x v="0"/>
    <n v="11247.599999999999"/>
    <n v="4820.4000000000015"/>
  </r>
  <r>
    <n v="341"/>
    <x v="4"/>
    <x v="27"/>
    <x v="6"/>
    <s v="128GB"/>
    <s v="Silver"/>
    <x v="302"/>
    <x v="0"/>
    <x v="330"/>
    <n v="3.8"/>
    <s v="Credit Card"/>
    <x v="1"/>
    <x v="1"/>
    <x v="0"/>
    <n v="15189.999999999998"/>
    <n v="6510.0000000000018"/>
  </r>
  <r>
    <n v="342"/>
    <x v="6"/>
    <x v="112"/>
    <x v="4"/>
    <s v="512GB"/>
    <s v="Green"/>
    <x v="28"/>
    <x v="8"/>
    <x v="331"/>
    <n v="3.4"/>
    <s v="Debit Card"/>
    <x v="3"/>
    <x v="3"/>
    <x v="0"/>
    <n v="1778"/>
    <n v="762"/>
  </r>
  <r>
    <n v="343"/>
    <x v="8"/>
    <x v="160"/>
    <x v="1"/>
    <s v="256GB"/>
    <s v="Blue"/>
    <x v="303"/>
    <x v="11"/>
    <x v="332"/>
    <n v="3.6"/>
    <s v="Credit Card"/>
    <x v="6"/>
    <x v="6"/>
    <x v="0"/>
    <n v="5317.2"/>
    <n v="2278.8000000000002"/>
  </r>
  <r>
    <n v="344"/>
    <x v="2"/>
    <x v="61"/>
    <x v="2"/>
    <s v="128GB"/>
    <s v="White"/>
    <x v="304"/>
    <x v="3"/>
    <x v="333"/>
    <n v="3.8"/>
    <s v="Online Payment"/>
    <x v="1"/>
    <x v="1"/>
    <x v="0"/>
    <n v="19471.199999999997"/>
    <n v="8344.8000000000029"/>
  </r>
  <r>
    <n v="345"/>
    <x v="8"/>
    <x v="67"/>
    <x v="1"/>
    <s v="128GB"/>
    <s v="Silver"/>
    <x v="305"/>
    <x v="2"/>
    <x v="261"/>
    <n v="3.8"/>
    <s v="Debit Card"/>
    <x v="11"/>
    <x v="11"/>
    <x v="0"/>
    <n v="5684"/>
    <n v="2436"/>
  </r>
  <r>
    <n v="346"/>
    <x v="4"/>
    <x v="58"/>
    <x v="1"/>
    <s v="256GB"/>
    <s v="Blue"/>
    <x v="144"/>
    <x v="9"/>
    <x v="334"/>
    <n v="3.2"/>
    <s v="Credit Card"/>
    <x v="5"/>
    <x v="5"/>
    <x v="0"/>
    <n v="1705.1999999999998"/>
    <n v="730.80000000000018"/>
  </r>
  <r>
    <n v="347"/>
    <x v="2"/>
    <x v="128"/>
    <x v="0"/>
    <s v="128GB"/>
    <s v="White"/>
    <x v="306"/>
    <x v="0"/>
    <x v="335"/>
    <n v="3.4"/>
    <s v="Installments"/>
    <x v="4"/>
    <x v="4"/>
    <x v="0"/>
    <n v="7391.9999999999991"/>
    <n v="3168.0000000000009"/>
  </r>
  <r>
    <n v="348"/>
    <x v="8"/>
    <x v="92"/>
    <x v="6"/>
    <s v="64GB"/>
    <s v="Blue"/>
    <x v="307"/>
    <x v="9"/>
    <x v="336"/>
    <n v="3.2"/>
    <s v="Cash"/>
    <x v="2"/>
    <x v="2"/>
    <x v="0"/>
    <n v="1211.6999999999998"/>
    <n v="519.30000000000018"/>
  </r>
  <r>
    <n v="349"/>
    <x v="9"/>
    <x v="161"/>
    <x v="3"/>
    <s v="256GB"/>
    <s v="Blue"/>
    <x v="308"/>
    <x v="16"/>
    <x v="337"/>
    <n v="3.1"/>
    <s v="Debit Card"/>
    <x v="8"/>
    <x v="8"/>
    <x v="0"/>
    <n v="741.3"/>
    <n v="317.70000000000005"/>
  </r>
  <r>
    <n v="350"/>
    <x v="2"/>
    <x v="162"/>
    <x v="9"/>
    <s v="64GB"/>
    <s v="Black"/>
    <x v="18"/>
    <x v="4"/>
    <x v="338"/>
    <n v="3.7"/>
    <s v="Installments"/>
    <x v="5"/>
    <x v="5"/>
    <x v="0"/>
    <n v="6473.5999999999995"/>
    <n v="2774.4000000000005"/>
  </r>
  <r>
    <n v="351"/>
    <x v="4"/>
    <x v="134"/>
    <x v="8"/>
    <s v="256GB"/>
    <s v="Gold"/>
    <x v="309"/>
    <x v="11"/>
    <x v="339"/>
    <n v="4"/>
    <s v="Debit Card"/>
    <x v="11"/>
    <x v="11"/>
    <x v="0"/>
    <n v="18597.599999999999"/>
    <n v="7970.4000000000015"/>
  </r>
  <r>
    <n v="352"/>
    <x v="6"/>
    <x v="71"/>
    <x v="0"/>
    <s v="128GB"/>
    <s v="Black"/>
    <x v="104"/>
    <x v="6"/>
    <x v="340"/>
    <n v="3.1"/>
    <s v="Installments"/>
    <x v="7"/>
    <x v="7"/>
    <x v="0"/>
    <n v="12440.4"/>
    <n v="5331.6"/>
  </r>
  <r>
    <n v="353"/>
    <x v="9"/>
    <x v="50"/>
    <x v="5"/>
    <s v="512GB"/>
    <s v="Silver"/>
    <x v="310"/>
    <x v="3"/>
    <x v="341"/>
    <n v="4.7"/>
    <s v="Cash"/>
    <x v="5"/>
    <x v="5"/>
    <x v="0"/>
    <n v="11996.599999999999"/>
    <n v="5141.4000000000015"/>
  </r>
  <r>
    <n v="354"/>
    <x v="9"/>
    <x v="163"/>
    <x v="0"/>
    <s v="128GB"/>
    <s v="Blue"/>
    <x v="311"/>
    <x v="12"/>
    <x v="342"/>
    <n v="3.8"/>
    <s v="Installments"/>
    <x v="1"/>
    <x v="1"/>
    <x v="0"/>
    <n v="4942"/>
    <n v="2118"/>
  </r>
  <r>
    <n v="355"/>
    <x v="3"/>
    <x v="91"/>
    <x v="3"/>
    <s v="128GB"/>
    <s v="Green"/>
    <x v="312"/>
    <x v="5"/>
    <x v="343"/>
    <n v="3"/>
    <s v="Online Payment"/>
    <x v="5"/>
    <x v="5"/>
    <x v="0"/>
    <n v="4368"/>
    <n v="1872"/>
  </r>
  <r>
    <n v="356"/>
    <x v="5"/>
    <x v="31"/>
    <x v="4"/>
    <s v="128GB"/>
    <s v="Silver"/>
    <x v="313"/>
    <x v="11"/>
    <x v="344"/>
    <n v="5"/>
    <s v="Debit Card"/>
    <x v="8"/>
    <x v="8"/>
    <x v="0"/>
    <n v="16014.599999999999"/>
    <n v="6863.4000000000015"/>
  </r>
  <r>
    <n v="357"/>
    <x v="1"/>
    <x v="145"/>
    <x v="5"/>
    <s v="64GB"/>
    <s v="Green"/>
    <x v="314"/>
    <x v="16"/>
    <x v="345"/>
    <n v="4.8"/>
    <s v="Online Payment"/>
    <x v="11"/>
    <x v="11"/>
    <x v="0"/>
    <n v="301.7"/>
    <n v="129.30000000000001"/>
  </r>
  <r>
    <n v="358"/>
    <x v="8"/>
    <x v="160"/>
    <x v="0"/>
    <s v="64GB"/>
    <s v="White"/>
    <x v="315"/>
    <x v="1"/>
    <x v="346"/>
    <n v="3.5"/>
    <s v="Installments"/>
    <x v="11"/>
    <x v="11"/>
    <x v="0"/>
    <n v="5203.7999999999993"/>
    <n v="2230.2000000000007"/>
  </r>
  <r>
    <n v="359"/>
    <x v="1"/>
    <x v="130"/>
    <x v="7"/>
    <s v="256GB"/>
    <s v="Silver"/>
    <x v="24"/>
    <x v="16"/>
    <x v="347"/>
    <n v="4.7"/>
    <s v="Online Payment"/>
    <x v="6"/>
    <x v="6"/>
    <x v="0"/>
    <n v="508.2"/>
    <n v="217.8"/>
  </r>
  <r>
    <n v="360"/>
    <x v="2"/>
    <x v="104"/>
    <x v="6"/>
    <s v="256GB"/>
    <s v="Blue"/>
    <x v="116"/>
    <x v="2"/>
    <x v="348"/>
    <n v="3.6"/>
    <s v="Credit Card"/>
    <x v="10"/>
    <x v="10"/>
    <x v="0"/>
    <n v="3542.7"/>
    <n v="1518.3000000000002"/>
  </r>
  <r>
    <n v="361"/>
    <x v="1"/>
    <x v="82"/>
    <x v="9"/>
    <s v="512GB"/>
    <s v="White"/>
    <x v="316"/>
    <x v="11"/>
    <x v="349"/>
    <n v="4.0999999999999996"/>
    <s v="Cash"/>
    <x v="6"/>
    <x v="6"/>
    <x v="0"/>
    <n v="11844"/>
    <n v="5076"/>
  </r>
  <r>
    <n v="362"/>
    <x v="4"/>
    <x v="156"/>
    <x v="2"/>
    <s v="256GB"/>
    <s v="Black"/>
    <x v="317"/>
    <x v="3"/>
    <x v="350"/>
    <n v="4.5"/>
    <s v="Installments"/>
    <x v="0"/>
    <x v="0"/>
    <x v="0"/>
    <n v="13778.8"/>
    <n v="5905.2000000000007"/>
  </r>
  <r>
    <n v="363"/>
    <x v="4"/>
    <x v="8"/>
    <x v="1"/>
    <s v="128GB"/>
    <s v="Green"/>
    <x v="318"/>
    <x v="3"/>
    <x v="351"/>
    <n v="3.4"/>
    <s v="Credit Card"/>
    <x v="5"/>
    <x v="5"/>
    <x v="0"/>
    <n v="16651.599999999999"/>
    <n v="7136.4000000000015"/>
  </r>
  <r>
    <n v="364"/>
    <x v="1"/>
    <x v="3"/>
    <x v="2"/>
    <s v="64GB"/>
    <s v="White"/>
    <x v="319"/>
    <x v="17"/>
    <x v="352"/>
    <n v="4.9000000000000004"/>
    <s v="Cash"/>
    <x v="9"/>
    <x v="9"/>
    <x v="0"/>
    <n v="14044.8"/>
    <n v="6019.2000000000007"/>
  </r>
  <r>
    <n v="365"/>
    <x v="2"/>
    <x v="2"/>
    <x v="4"/>
    <s v="256GB"/>
    <s v="Green"/>
    <x v="189"/>
    <x v="4"/>
    <x v="353"/>
    <n v="3.3"/>
    <s v="Credit Card"/>
    <x v="9"/>
    <x v="9"/>
    <x v="0"/>
    <n v="4720.7999999999993"/>
    <n v="2023.2000000000007"/>
  </r>
  <r>
    <n v="366"/>
    <x v="2"/>
    <x v="45"/>
    <x v="6"/>
    <s v="256GB"/>
    <s v="Blue"/>
    <x v="256"/>
    <x v="1"/>
    <x v="274"/>
    <n v="4.5999999999999996"/>
    <s v="Online Payment"/>
    <x v="0"/>
    <x v="0"/>
    <x v="0"/>
    <n v="8857.7999999999993"/>
    <n v="3796.2000000000007"/>
  </r>
  <r>
    <n v="367"/>
    <x v="1"/>
    <x v="82"/>
    <x v="3"/>
    <s v="256GB"/>
    <s v="Green"/>
    <x v="320"/>
    <x v="1"/>
    <x v="354"/>
    <n v="4.5999999999999996"/>
    <s v="Installments"/>
    <x v="9"/>
    <x v="9"/>
    <x v="0"/>
    <n v="2513.6999999999998"/>
    <n v="1077.3000000000002"/>
  </r>
  <r>
    <n v="368"/>
    <x v="9"/>
    <x v="51"/>
    <x v="4"/>
    <s v="64GB"/>
    <s v="Green"/>
    <x v="321"/>
    <x v="7"/>
    <x v="355"/>
    <n v="4.0999999999999996"/>
    <s v="Debit Card"/>
    <x v="5"/>
    <x v="5"/>
    <x v="0"/>
    <n v="3315.2"/>
    <n v="1420.8000000000002"/>
  </r>
  <r>
    <n v="369"/>
    <x v="5"/>
    <x v="164"/>
    <x v="0"/>
    <s v="256GB"/>
    <s v="Black"/>
    <x v="180"/>
    <x v="7"/>
    <x v="356"/>
    <n v="4.5999999999999996"/>
    <s v="Debit Card"/>
    <x v="4"/>
    <x v="4"/>
    <x v="0"/>
    <n v="2001.9999999999998"/>
    <n v="858.00000000000023"/>
  </r>
  <r>
    <n v="370"/>
    <x v="1"/>
    <x v="72"/>
    <x v="0"/>
    <s v="128GB"/>
    <s v="Gold"/>
    <x v="119"/>
    <x v="16"/>
    <x v="357"/>
    <n v="4.2"/>
    <s v="Cash"/>
    <x v="4"/>
    <x v="4"/>
    <x v="0"/>
    <n v="916.99999999999989"/>
    <n v="393.00000000000011"/>
  </r>
  <r>
    <n v="371"/>
    <x v="6"/>
    <x v="52"/>
    <x v="5"/>
    <s v="512GB"/>
    <s v="Blue"/>
    <x v="322"/>
    <x v="4"/>
    <x v="358"/>
    <n v="3.8"/>
    <s v="Debit Card"/>
    <x v="2"/>
    <x v="2"/>
    <x v="0"/>
    <n v="3091.2"/>
    <n v="1324.8000000000002"/>
  </r>
  <r>
    <n v="372"/>
    <x v="9"/>
    <x v="57"/>
    <x v="0"/>
    <s v="64GB"/>
    <s v="Gold"/>
    <x v="323"/>
    <x v="19"/>
    <x v="359"/>
    <n v="3.6"/>
    <s v="Online Payment"/>
    <x v="6"/>
    <x v="6"/>
    <x v="0"/>
    <n v="15279.599999999999"/>
    <n v="6548.4000000000015"/>
  </r>
  <r>
    <n v="373"/>
    <x v="9"/>
    <x v="95"/>
    <x v="3"/>
    <s v="64GB"/>
    <s v="Gold"/>
    <x v="324"/>
    <x v="9"/>
    <x v="360"/>
    <n v="3.5"/>
    <s v="Installments"/>
    <x v="2"/>
    <x v="2"/>
    <x v="0"/>
    <n v="2154.6"/>
    <n v="923.40000000000009"/>
  </r>
  <r>
    <n v="374"/>
    <x v="0"/>
    <x v="165"/>
    <x v="5"/>
    <s v="256GB"/>
    <s v="Gold"/>
    <x v="69"/>
    <x v="5"/>
    <x v="361"/>
    <n v="4.5"/>
    <s v="Credit Card"/>
    <x v="11"/>
    <x v="11"/>
    <x v="0"/>
    <n v="10405.5"/>
    <n v="4459.5"/>
  </r>
  <r>
    <n v="375"/>
    <x v="4"/>
    <x v="166"/>
    <x v="6"/>
    <s v="256GB"/>
    <s v="White"/>
    <x v="325"/>
    <x v="0"/>
    <x v="362"/>
    <n v="4.5"/>
    <s v="Cash"/>
    <x v="8"/>
    <x v="8"/>
    <x v="0"/>
    <n v="19208"/>
    <n v="8232"/>
  </r>
  <r>
    <n v="376"/>
    <x v="2"/>
    <x v="128"/>
    <x v="9"/>
    <s v="128GB"/>
    <s v="Blue"/>
    <x v="326"/>
    <x v="1"/>
    <x v="363"/>
    <n v="4.3"/>
    <s v="Credit Card"/>
    <x v="6"/>
    <x v="6"/>
    <x v="0"/>
    <n v="8964.9"/>
    <n v="3842.1000000000004"/>
  </r>
  <r>
    <n v="377"/>
    <x v="3"/>
    <x v="38"/>
    <x v="1"/>
    <s v="128GB"/>
    <s v="Blue"/>
    <x v="327"/>
    <x v="3"/>
    <x v="364"/>
    <n v="4.2"/>
    <s v="Cash"/>
    <x v="6"/>
    <x v="6"/>
    <x v="0"/>
    <n v="8565.1999999999989"/>
    <n v="3670.8000000000011"/>
  </r>
  <r>
    <n v="378"/>
    <x v="5"/>
    <x v="167"/>
    <x v="3"/>
    <s v="256GB"/>
    <s v="Silver"/>
    <x v="328"/>
    <x v="12"/>
    <x v="365"/>
    <n v="3.8"/>
    <s v="Cash"/>
    <x v="3"/>
    <x v="3"/>
    <x v="0"/>
    <n v="4189.5"/>
    <n v="1795.5"/>
  </r>
  <r>
    <n v="379"/>
    <x v="5"/>
    <x v="75"/>
    <x v="4"/>
    <s v="256GB"/>
    <s v="White"/>
    <x v="329"/>
    <x v="15"/>
    <x v="366"/>
    <n v="4.3"/>
    <s v="Debit Card"/>
    <x v="4"/>
    <x v="4"/>
    <x v="0"/>
    <n v="4200"/>
    <n v="1800"/>
  </r>
  <r>
    <n v="380"/>
    <x v="0"/>
    <x v="168"/>
    <x v="1"/>
    <s v="512GB"/>
    <s v="Silver"/>
    <x v="330"/>
    <x v="19"/>
    <x v="367"/>
    <n v="3.8"/>
    <s v="Credit Card"/>
    <x v="9"/>
    <x v="9"/>
    <x v="0"/>
    <n v="5831"/>
    <n v="2499"/>
  </r>
  <r>
    <n v="381"/>
    <x v="0"/>
    <x v="118"/>
    <x v="5"/>
    <s v="512GB"/>
    <s v="Blue"/>
    <x v="331"/>
    <x v="9"/>
    <x v="368"/>
    <n v="3"/>
    <s v="Cash"/>
    <x v="0"/>
    <x v="0"/>
    <x v="0"/>
    <n v="1398.6"/>
    <n v="599.40000000000009"/>
  </r>
  <r>
    <n v="382"/>
    <x v="5"/>
    <x v="111"/>
    <x v="2"/>
    <s v="128GB"/>
    <s v="Gold"/>
    <x v="332"/>
    <x v="8"/>
    <x v="369"/>
    <n v="3.2"/>
    <s v="Installments"/>
    <x v="6"/>
    <x v="6"/>
    <x v="0"/>
    <n v="1572.1999999999998"/>
    <n v="673.80000000000018"/>
  </r>
  <r>
    <n v="383"/>
    <x v="3"/>
    <x v="140"/>
    <x v="1"/>
    <s v="256GB"/>
    <s v="Silver"/>
    <x v="333"/>
    <x v="17"/>
    <x v="370"/>
    <n v="3.6"/>
    <s v="Online Payment"/>
    <x v="1"/>
    <x v="1"/>
    <x v="0"/>
    <n v="12040"/>
    <n v="5160"/>
  </r>
  <r>
    <n v="384"/>
    <x v="8"/>
    <x v="117"/>
    <x v="6"/>
    <s v="64GB"/>
    <s v="Gold"/>
    <x v="334"/>
    <x v="13"/>
    <x v="371"/>
    <n v="4.5"/>
    <s v="Installments"/>
    <x v="11"/>
    <x v="11"/>
    <x v="0"/>
    <n v="9338"/>
    <n v="4002"/>
  </r>
  <r>
    <n v="385"/>
    <x v="4"/>
    <x v="116"/>
    <x v="0"/>
    <s v="256GB"/>
    <s v="Silver"/>
    <x v="335"/>
    <x v="10"/>
    <x v="372"/>
    <n v="4"/>
    <s v="Debit Card"/>
    <x v="1"/>
    <x v="1"/>
    <x v="0"/>
    <n v="3763.2"/>
    <n v="1612.8000000000002"/>
  </r>
  <r>
    <n v="386"/>
    <x v="1"/>
    <x v="127"/>
    <x v="4"/>
    <s v="128GB"/>
    <s v="Silver"/>
    <x v="336"/>
    <x v="16"/>
    <x v="373"/>
    <n v="3.5"/>
    <s v="Installments"/>
    <x v="7"/>
    <x v="7"/>
    <x v="0"/>
    <n v="896"/>
    <n v="384"/>
  </r>
  <r>
    <n v="387"/>
    <x v="3"/>
    <x v="169"/>
    <x v="2"/>
    <s v="256GB"/>
    <s v="Silver"/>
    <x v="337"/>
    <x v="9"/>
    <x v="374"/>
    <n v="4.8"/>
    <s v="Cash"/>
    <x v="3"/>
    <x v="3"/>
    <x v="0"/>
    <n v="1117.1999999999998"/>
    <n v="478.80000000000018"/>
  </r>
  <r>
    <n v="388"/>
    <x v="4"/>
    <x v="27"/>
    <x v="7"/>
    <s v="256GB"/>
    <s v="Blue"/>
    <x v="338"/>
    <x v="15"/>
    <x v="375"/>
    <n v="4"/>
    <s v="Installments"/>
    <x v="9"/>
    <x v="9"/>
    <x v="0"/>
    <n v="3313.7999999999997"/>
    <n v="1420.2000000000003"/>
  </r>
  <r>
    <n v="389"/>
    <x v="7"/>
    <x v="150"/>
    <x v="3"/>
    <s v="64GB"/>
    <s v="Blue"/>
    <x v="339"/>
    <x v="3"/>
    <x v="376"/>
    <n v="3.9"/>
    <s v="Online Payment"/>
    <x v="0"/>
    <x v="0"/>
    <x v="0"/>
    <n v="16744.7"/>
    <n v="7176.2999999999993"/>
  </r>
  <r>
    <n v="390"/>
    <x v="5"/>
    <x v="101"/>
    <x v="1"/>
    <s v="256GB"/>
    <s v="Green"/>
    <x v="340"/>
    <x v="10"/>
    <x v="377"/>
    <n v="4.3"/>
    <s v="Debit Card"/>
    <x v="5"/>
    <x v="5"/>
    <x v="0"/>
    <n v="13200.599999999999"/>
    <n v="5657.4000000000015"/>
  </r>
  <r>
    <n v="391"/>
    <x v="1"/>
    <x v="170"/>
    <x v="4"/>
    <s v="64GB"/>
    <s v="Gold"/>
    <x v="341"/>
    <x v="3"/>
    <x v="378"/>
    <n v="4.7"/>
    <s v="Credit Card"/>
    <x v="0"/>
    <x v="0"/>
    <x v="0"/>
    <n v="9921.7999999999993"/>
    <n v="4252.2000000000007"/>
  </r>
  <r>
    <n v="392"/>
    <x v="5"/>
    <x v="164"/>
    <x v="0"/>
    <s v="128GB"/>
    <s v="Gold"/>
    <x v="329"/>
    <x v="1"/>
    <x v="379"/>
    <n v="4.7"/>
    <s v="Online Payment"/>
    <x v="4"/>
    <x v="4"/>
    <x v="0"/>
    <n v="6300"/>
    <n v="2700"/>
  </r>
  <r>
    <n v="393"/>
    <x v="2"/>
    <x v="86"/>
    <x v="9"/>
    <s v="256GB"/>
    <s v="Blue"/>
    <x v="109"/>
    <x v="7"/>
    <x v="380"/>
    <n v="4.2"/>
    <s v="Online Payment"/>
    <x v="0"/>
    <x v="0"/>
    <x v="0"/>
    <n v="1419.6"/>
    <n v="608.40000000000009"/>
  </r>
  <r>
    <n v="394"/>
    <x v="2"/>
    <x v="131"/>
    <x v="4"/>
    <s v="128GB"/>
    <s v="Blue"/>
    <x v="342"/>
    <x v="0"/>
    <x v="381"/>
    <n v="3"/>
    <s v="Cash"/>
    <x v="5"/>
    <x v="5"/>
    <x v="0"/>
    <n v="17822"/>
    <n v="7638"/>
  </r>
  <r>
    <n v="395"/>
    <x v="5"/>
    <x v="101"/>
    <x v="7"/>
    <s v="256GB"/>
    <s v="Blue"/>
    <x v="343"/>
    <x v="16"/>
    <x v="382"/>
    <n v="4.8"/>
    <s v="Installments"/>
    <x v="9"/>
    <x v="9"/>
    <x v="0"/>
    <n v="416.5"/>
    <n v="178.5"/>
  </r>
  <r>
    <n v="396"/>
    <x v="1"/>
    <x v="127"/>
    <x v="6"/>
    <s v="512GB"/>
    <s v="Gold"/>
    <x v="344"/>
    <x v="15"/>
    <x v="383"/>
    <n v="3.2"/>
    <s v="Installments"/>
    <x v="0"/>
    <x v="0"/>
    <x v="0"/>
    <n v="2339.3999999999996"/>
    <n v="1002.6000000000004"/>
  </r>
  <r>
    <n v="397"/>
    <x v="3"/>
    <x v="171"/>
    <x v="0"/>
    <s v="64GB"/>
    <s v="White"/>
    <x v="345"/>
    <x v="1"/>
    <x v="384"/>
    <n v="3.8"/>
    <s v="Installments"/>
    <x v="9"/>
    <x v="9"/>
    <x v="0"/>
    <n v="9128.6999999999989"/>
    <n v="3912.3000000000011"/>
  </r>
  <r>
    <n v="398"/>
    <x v="3"/>
    <x v="34"/>
    <x v="4"/>
    <s v="256GB"/>
    <s v="Blue"/>
    <x v="181"/>
    <x v="11"/>
    <x v="385"/>
    <n v="4.9000000000000004"/>
    <s v="Debit Card"/>
    <x v="5"/>
    <x v="5"/>
    <x v="0"/>
    <n v="14464.8"/>
    <n v="6199.2000000000007"/>
  </r>
  <r>
    <n v="399"/>
    <x v="0"/>
    <x v="172"/>
    <x v="1"/>
    <s v="256GB"/>
    <s v="Green"/>
    <x v="346"/>
    <x v="17"/>
    <x v="386"/>
    <n v="4"/>
    <s v="Installments"/>
    <x v="4"/>
    <x v="4"/>
    <x v="0"/>
    <n v="8556.7999999999993"/>
    <n v="3667.2000000000007"/>
  </r>
  <r>
    <n v="400"/>
    <x v="8"/>
    <x v="43"/>
    <x v="9"/>
    <s v="64GB"/>
    <s v="Silver"/>
    <x v="347"/>
    <x v="8"/>
    <x v="387"/>
    <n v="4.0999999999999996"/>
    <s v="Debit Card"/>
    <x v="9"/>
    <x v="9"/>
    <x v="0"/>
    <n v="1223.5999999999999"/>
    <n v="524.40000000000009"/>
  </r>
  <r>
    <n v="401"/>
    <x v="8"/>
    <x v="125"/>
    <x v="8"/>
    <s v="64GB"/>
    <s v="Black"/>
    <x v="104"/>
    <x v="1"/>
    <x v="388"/>
    <n v="3.5"/>
    <s v="Credit Card"/>
    <x v="9"/>
    <x v="9"/>
    <x v="0"/>
    <n v="9330.2999999999993"/>
    <n v="3998.7000000000007"/>
  </r>
  <r>
    <n v="402"/>
    <x v="7"/>
    <x v="69"/>
    <x v="0"/>
    <s v="64GB"/>
    <s v="Gold"/>
    <x v="348"/>
    <x v="1"/>
    <x v="389"/>
    <n v="4.5"/>
    <s v="Debit Card"/>
    <x v="9"/>
    <x v="9"/>
    <x v="0"/>
    <n v="3584.7"/>
    <n v="1536.3000000000002"/>
  </r>
  <r>
    <n v="403"/>
    <x v="8"/>
    <x v="107"/>
    <x v="9"/>
    <s v="64GB"/>
    <s v="Silver"/>
    <x v="349"/>
    <x v="11"/>
    <x v="390"/>
    <n v="3.2"/>
    <s v="Credit Card"/>
    <x v="3"/>
    <x v="3"/>
    <x v="0"/>
    <n v="6665.4"/>
    <n v="2856.6000000000004"/>
  </r>
  <r>
    <n v="404"/>
    <x v="9"/>
    <x v="35"/>
    <x v="4"/>
    <s v="512GB"/>
    <s v="Silver"/>
    <x v="350"/>
    <x v="13"/>
    <x v="391"/>
    <n v="4"/>
    <s v="Online Payment"/>
    <x v="0"/>
    <x v="0"/>
    <x v="0"/>
    <n v="3185"/>
    <n v="1365"/>
  </r>
  <r>
    <n v="405"/>
    <x v="0"/>
    <x v="9"/>
    <x v="2"/>
    <s v="128GB"/>
    <s v="Green"/>
    <x v="184"/>
    <x v="7"/>
    <x v="392"/>
    <n v="4.3"/>
    <s v="Debit Card"/>
    <x v="9"/>
    <x v="9"/>
    <x v="0"/>
    <n v="1531.6"/>
    <n v="656.40000000000009"/>
  </r>
  <r>
    <n v="406"/>
    <x v="1"/>
    <x v="108"/>
    <x v="9"/>
    <s v="512GB"/>
    <s v="Silver"/>
    <x v="351"/>
    <x v="16"/>
    <x v="393"/>
    <n v="4.4000000000000004"/>
    <s v="Cash"/>
    <x v="7"/>
    <x v="7"/>
    <x v="0"/>
    <n v="574"/>
    <n v="246"/>
  </r>
  <r>
    <n v="407"/>
    <x v="0"/>
    <x v="59"/>
    <x v="2"/>
    <s v="64GB"/>
    <s v="Silver"/>
    <x v="352"/>
    <x v="13"/>
    <x v="394"/>
    <n v="3.8"/>
    <s v="Debit Card"/>
    <x v="8"/>
    <x v="8"/>
    <x v="0"/>
    <n v="2296"/>
    <n v="984"/>
  </r>
  <r>
    <n v="408"/>
    <x v="4"/>
    <x v="116"/>
    <x v="0"/>
    <s v="128GB"/>
    <s v="Blue"/>
    <x v="225"/>
    <x v="5"/>
    <x v="395"/>
    <n v="4.8"/>
    <s v="Debit Card"/>
    <x v="1"/>
    <x v="1"/>
    <x v="0"/>
    <n v="7486.4999999999991"/>
    <n v="3208.5000000000009"/>
  </r>
  <r>
    <n v="409"/>
    <x v="9"/>
    <x v="83"/>
    <x v="2"/>
    <s v="64GB"/>
    <s v="Black"/>
    <x v="353"/>
    <x v="17"/>
    <x v="396"/>
    <n v="4.5999999999999996"/>
    <s v="Credit Card"/>
    <x v="0"/>
    <x v="0"/>
    <x v="0"/>
    <n v="14638.4"/>
    <n v="6273.6"/>
  </r>
  <r>
    <n v="410"/>
    <x v="0"/>
    <x v="28"/>
    <x v="0"/>
    <s v="128GB"/>
    <s v="Green"/>
    <x v="354"/>
    <x v="15"/>
    <x v="397"/>
    <n v="3.5"/>
    <s v="Credit Card"/>
    <x v="4"/>
    <x v="4"/>
    <x v="0"/>
    <n v="5153.3999999999996"/>
    <n v="2208.6000000000004"/>
  </r>
  <r>
    <n v="411"/>
    <x v="3"/>
    <x v="91"/>
    <x v="0"/>
    <s v="64GB"/>
    <s v="Gold"/>
    <x v="355"/>
    <x v="3"/>
    <x v="398"/>
    <n v="4.4000000000000004"/>
    <s v="Credit Card"/>
    <x v="11"/>
    <x v="11"/>
    <x v="0"/>
    <n v="8618.4"/>
    <n v="3693.6000000000004"/>
  </r>
  <r>
    <n v="412"/>
    <x v="2"/>
    <x v="61"/>
    <x v="0"/>
    <s v="128GB"/>
    <s v="Gold"/>
    <x v="356"/>
    <x v="12"/>
    <x v="399"/>
    <n v="4.8"/>
    <s v="Debit Card"/>
    <x v="6"/>
    <x v="6"/>
    <x v="0"/>
    <n v="2008.9999999999998"/>
    <n v="861.00000000000023"/>
  </r>
  <r>
    <n v="413"/>
    <x v="8"/>
    <x v="123"/>
    <x v="2"/>
    <s v="128GB"/>
    <s v="Gold"/>
    <x v="357"/>
    <x v="18"/>
    <x v="400"/>
    <n v="4.9000000000000004"/>
    <s v="Online Payment"/>
    <x v="2"/>
    <x v="2"/>
    <x v="0"/>
    <n v="5174.3999999999996"/>
    <n v="2217.6000000000004"/>
  </r>
  <r>
    <n v="414"/>
    <x v="2"/>
    <x v="173"/>
    <x v="1"/>
    <s v="64GB"/>
    <s v="Green"/>
    <x v="110"/>
    <x v="9"/>
    <x v="320"/>
    <n v="4"/>
    <s v="Cash"/>
    <x v="0"/>
    <x v="0"/>
    <x v="0"/>
    <n v="1201.1999999999998"/>
    <n v="514.80000000000018"/>
  </r>
  <r>
    <n v="415"/>
    <x v="5"/>
    <x v="53"/>
    <x v="9"/>
    <s v="64GB"/>
    <s v="White"/>
    <x v="358"/>
    <x v="2"/>
    <x v="401"/>
    <n v="5"/>
    <s v="Online Payment"/>
    <x v="2"/>
    <x v="2"/>
    <x v="0"/>
    <n v="4174.8"/>
    <n v="1789.1999999999998"/>
  </r>
  <r>
    <n v="416"/>
    <x v="8"/>
    <x v="99"/>
    <x v="4"/>
    <s v="128GB"/>
    <s v="Silver"/>
    <x v="359"/>
    <x v="11"/>
    <x v="402"/>
    <n v="4.4000000000000004"/>
    <s v="Online Payment"/>
    <x v="8"/>
    <x v="8"/>
    <x v="0"/>
    <n v="14074.199999999999"/>
    <n v="6031.8000000000011"/>
  </r>
  <r>
    <n v="417"/>
    <x v="7"/>
    <x v="174"/>
    <x v="8"/>
    <s v="128GB"/>
    <s v="Gold"/>
    <x v="360"/>
    <x v="0"/>
    <x v="403"/>
    <n v="4"/>
    <s v="Credit Card"/>
    <x v="6"/>
    <x v="6"/>
    <x v="0"/>
    <n v="19292"/>
    <n v="8268"/>
  </r>
  <r>
    <n v="418"/>
    <x v="5"/>
    <x v="167"/>
    <x v="1"/>
    <s v="128GB"/>
    <s v="White"/>
    <x v="361"/>
    <x v="4"/>
    <x v="327"/>
    <n v="4.7"/>
    <s v="Debit Card"/>
    <x v="7"/>
    <x v="7"/>
    <x v="0"/>
    <n v="2900.7999999999997"/>
    <n v="1243.2000000000003"/>
  </r>
  <r>
    <n v="419"/>
    <x v="9"/>
    <x v="163"/>
    <x v="9"/>
    <s v="512GB"/>
    <s v="Black"/>
    <x v="139"/>
    <x v="4"/>
    <x v="404"/>
    <n v="3.7"/>
    <s v="Installments"/>
    <x v="7"/>
    <x v="7"/>
    <x v="0"/>
    <n v="2800"/>
    <n v="1200"/>
  </r>
  <r>
    <n v="420"/>
    <x v="7"/>
    <x v="174"/>
    <x v="2"/>
    <s v="128GB"/>
    <s v="Gold"/>
    <x v="362"/>
    <x v="5"/>
    <x v="405"/>
    <n v="3.9"/>
    <s v="Credit Card"/>
    <x v="3"/>
    <x v="3"/>
    <x v="0"/>
    <n v="12085.5"/>
    <n v="5179.5"/>
  </r>
  <r>
    <n v="421"/>
    <x v="9"/>
    <x v="73"/>
    <x v="3"/>
    <s v="512GB"/>
    <s v="White"/>
    <x v="363"/>
    <x v="6"/>
    <x v="406"/>
    <n v="5"/>
    <s v="Cash"/>
    <x v="8"/>
    <x v="8"/>
    <x v="0"/>
    <n v="6442.7999999999993"/>
    <n v="2761.2000000000007"/>
  </r>
  <r>
    <n v="422"/>
    <x v="1"/>
    <x v="72"/>
    <x v="5"/>
    <s v="512GB"/>
    <s v="Green"/>
    <x v="86"/>
    <x v="11"/>
    <x v="407"/>
    <n v="4.0999999999999996"/>
    <s v="Credit Card"/>
    <x v="7"/>
    <x v="7"/>
    <x v="0"/>
    <n v="12625.199999999999"/>
    <n v="5410.8000000000011"/>
  </r>
  <r>
    <n v="423"/>
    <x v="1"/>
    <x v="175"/>
    <x v="1"/>
    <s v="256GB"/>
    <s v="Black"/>
    <x v="364"/>
    <x v="8"/>
    <x v="408"/>
    <n v="3.1"/>
    <s v="Installments"/>
    <x v="0"/>
    <x v="0"/>
    <x v="0"/>
    <n v="996.8"/>
    <n v="427.20000000000005"/>
  </r>
  <r>
    <n v="424"/>
    <x v="2"/>
    <x v="104"/>
    <x v="8"/>
    <s v="512GB"/>
    <s v="Green"/>
    <x v="365"/>
    <x v="1"/>
    <x v="409"/>
    <n v="4.5999999999999996"/>
    <s v="Credit Card"/>
    <x v="8"/>
    <x v="8"/>
    <x v="0"/>
    <n v="3609.8999999999996"/>
    <n v="1547.1000000000004"/>
  </r>
  <r>
    <n v="425"/>
    <x v="4"/>
    <x v="17"/>
    <x v="9"/>
    <s v="64GB"/>
    <s v="Green"/>
    <x v="366"/>
    <x v="14"/>
    <x v="410"/>
    <n v="3.2"/>
    <s v="Online Payment"/>
    <x v="3"/>
    <x v="3"/>
    <x v="0"/>
    <n v="7134.4"/>
    <n v="3057.6000000000004"/>
  </r>
  <r>
    <n v="426"/>
    <x v="7"/>
    <x v="174"/>
    <x v="8"/>
    <s v="512GB"/>
    <s v="Blue"/>
    <x v="367"/>
    <x v="17"/>
    <x v="411"/>
    <n v="3.1"/>
    <s v="Debit Card"/>
    <x v="9"/>
    <x v="9"/>
    <x v="0"/>
    <n v="12656"/>
    <n v="5424"/>
  </r>
  <r>
    <n v="427"/>
    <x v="7"/>
    <x v="76"/>
    <x v="1"/>
    <s v="512GB"/>
    <s v="Blue"/>
    <x v="368"/>
    <x v="1"/>
    <x v="412"/>
    <n v="4.5"/>
    <s v="Cash"/>
    <x v="5"/>
    <x v="5"/>
    <x v="0"/>
    <n v="9387"/>
    <n v="4023"/>
  </r>
  <r>
    <n v="428"/>
    <x v="0"/>
    <x v="165"/>
    <x v="8"/>
    <s v="256GB"/>
    <s v="Gold"/>
    <x v="14"/>
    <x v="14"/>
    <x v="413"/>
    <n v="4.2"/>
    <s v="Credit Card"/>
    <x v="0"/>
    <x v="0"/>
    <x v="0"/>
    <n v="9864.4"/>
    <n v="4227.6000000000004"/>
  </r>
  <r>
    <n v="429"/>
    <x v="5"/>
    <x v="167"/>
    <x v="1"/>
    <s v="256GB"/>
    <s v="White"/>
    <x v="369"/>
    <x v="2"/>
    <x v="414"/>
    <n v="4.4000000000000004"/>
    <s v="Debit Card"/>
    <x v="7"/>
    <x v="7"/>
    <x v="0"/>
    <n v="5796.7"/>
    <n v="2484.3000000000002"/>
  </r>
  <r>
    <n v="430"/>
    <x v="3"/>
    <x v="87"/>
    <x v="6"/>
    <s v="64GB"/>
    <s v="Black"/>
    <x v="236"/>
    <x v="5"/>
    <x v="415"/>
    <n v="4.4000000000000004"/>
    <s v="Cash"/>
    <x v="11"/>
    <x v="11"/>
    <x v="0"/>
    <n v="10353"/>
    <n v="4437"/>
  </r>
  <r>
    <n v="431"/>
    <x v="7"/>
    <x v="70"/>
    <x v="1"/>
    <s v="512GB"/>
    <s v="Gold"/>
    <x v="370"/>
    <x v="17"/>
    <x v="416"/>
    <n v="4.4000000000000004"/>
    <s v="Cash"/>
    <x v="7"/>
    <x v="7"/>
    <x v="0"/>
    <n v="13720"/>
    <n v="5880"/>
  </r>
  <r>
    <n v="432"/>
    <x v="7"/>
    <x v="105"/>
    <x v="0"/>
    <s v="512GB"/>
    <s v="Silver"/>
    <x v="371"/>
    <x v="0"/>
    <x v="417"/>
    <n v="4.8"/>
    <s v="Cash"/>
    <x v="4"/>
    <x v="4"/>
    <x v="0"/>
    <n v="4704"/>
    <n v="2016"/>
  </r>
  <r>
    <n v="433"/>
    <x v="8"/>
    <x v="123"/>
    <x v="7"/>
    <s v="256GB"/>
    <s v="Gold"/>
    <x v="223"/>
    <x v="18"/>
    <x v="418"/>
    <n v="3.4"/>
    <s v="Credit Card"/>
    <x v="0"/>
    <x v="0"/>
    <x v="0"/>
    <n v="7099.4"/>
    <n v="3042.6000000000004"/>
  </r>
  <r>
    <n v="434"/>
    <x v="1"/>
    <x v="1"/>
    <x v="7"/>
    <s v="512GB"/>
    <s v="White"/>
    <x v="372"/>
    <x v="12"/>
    <x v="419"/>
    <n v="3.9"/>
    <s v="Cash"/>
    <x v="8"/>
    <x v="8"/>
    <x v="0"/>
    <n v="3510.5"/>
    <n v="1504.5"/>
  </r>
  <r>
    <n v="435"/>
    <x v="5"/>
    <x v="101"/>
    <x v="3"/>
    <s v="256GB"/>
    <s v="White"/>
    <x v="373"/>
    <x v="11"/>
    <x v="420"/>
    <n v="4.0999999999999996"/>
    <s v="Installments"/>
    <x v="2"/>
    <x v="2"/>
    <x v="0"/>
    <n v="11478.599999999999"/>
    <n v="4919.4000000000015"/>
  </r>
  <r>
    <n v="436"/>
    <x v="8"/>
    <x v="176"/>
    <x v="3"/>
    <s v="64GB"/>
    <s v="Gold"/>
    <x v="374"/>
    <x v="12"/>
    <x v="421"/>
    <n v="4"/>
    <s v="Cash"/>
    <x v="0"/>
    <x v="0"/>
    <x v="0"/>
    <n v="4665.5"/>
    <n v="1999.5"/>
  </r>
  <r>
    <n v="437"/>
    <x v="8"/>
    <x v="160"/>
    <x v="1"/>
    <s v="512GB"/>
    <s v="Gold"/>
    <x v="375"/>
    <x v="14"/>
    <x v="422"/>
    <n v="3.9"/>
    <s v="Debit Card"/>
    <x v="3"/>
    <x v="3"/>
    <x v="0"/>
    <n v="7452.9"/>
    <n v="3194.1000000000004"/>
  </r>
  <r>
    <n v="438"/>
    <x v="3"/>
    <x v="81"/>
    <x v="4"/>
    <s v="64GB"/>
    <s v="Silver"/>
    <x v="376"/>
    <x v="1"/>
    <x v="423"/>
    <n v="4.2"/>
    <s v="Installments"/>
    <x v="5"/>
    <x v="5"/>
    <x v="0"/>
    <n v="9198"/>
    <n v="3942"/>
  </r>
  <r>
    <n v="439"/>
    <x v="0"/>
    <x v="37"/>
    <x v="3"/>
    <s v="64GB"/>
    <s v="Silver"/>
    <x v="247"/>
    <x v="18"/>
    <x v="424"/>
    <n v="3.4"/>
    <s v="Online Payment"/>
    <x v="0"/>
    <x v="0"/>
    <x v="0"/>
    <n v="2517.8999999999996"/>
    <n v="1079.1000000000004"/>
  </r>
  <r>
    <n v="440"/>
    <x v="4"/>
    <x v="116"/>
    <x v="3"/>
    <s v="256GB"/>
    <s v="Silver"/>
    <x v="377"/>
    <x v="14"/>
    <x v="425"/>
    <n v="4.4000000000000004"/>
    <s v="Debit Card"/>
    <x v="7"/>
    <x v="7"/>
    <x v="0"/>
    <n v="5314.4"/>
    <n v="2277.6000000000004"/>
  </r>
  <r>
    <n v="441"/>
    <x v="1"/>
    <x v="25"/>
    <x v="6"/>
    <s v="512GB"/>
    <s v="Green"/>
    <x v="378"/>
    <x v="16"/>
    <x v="426"/>
    <n v="3.2"/>
    <s v="Credit Card"/>
    <x v="8"/>
    <x v="8"/>
    <x v="0"/>
    <n v="918.4"/>
    <n v="393.6"/>
  </r>
  <r>
    <n v="442"/>
    <x v="6"/>
    <x v="49"/>
    <x v="1"/>
    <s v="256GB"/>
    <s v="Gold"/>
    <x v="379"/>
    <x v="8"/>
    <x v="427"/>
    <n v="4.4000000000000004"/>
    <s v="Credit Card"/>
    <x v="9"/>
    <x v="9"/>
    <x v="0"/>
    <n v="489.99999999999994"/>
    <n v="210.00000000000006"/>
  </r>
  <r>
    <n v="443"/>
    <x v="1"/>
    <x v="4"/>
    <x v="3"/>
    <s v="128GB"/>
    <s v="Silver"/>
    <x v="380"/>
    <x v="6"/>
    <x v="428"/>
    <n v="3.3"/>
    <s v="Credit Card"/>
    <x v="4"/>
    <x v="4"/>
    <x v="0"/>
    <n v="5779.2"/>
    <n v="2476.8000000000002"/>
  </r>
  <r>
    <n v="444"/>
    <x v="6"/>
    <x v="49"/>
    <x v="8"/>
    <s v="64GB"/>
    <s v="Gold"/>
    <x v="381"/>
    <x v="4"/>
    <x v="429"/>
    <n v="4.5999999999999996"/>
    <s v="Cash"/>
    <x v="8"/>
    <x v="8"/>
    <x v="0"/>
    <n v="8209.6"/>
    <n v="3518.3999999999996"/>
  </r>
  <r>
    <n v="445"/>
    <x v="3"/>
    <x v="10"/>
    <x v="9"/>
    <s v="128GB"/>
    <s v="Blue"/>
    <x v="382"/>
    <x v="13"/>
    <x v="430"/>
    <n v="4.4000000000000004"/>
    <s v="Cash"/>
    <x v="4"/>
    <x v="4"/>
    <x v="0"/>
    <n v="6370"/>
    <n v="2730"/>
  </r>
  <r>
    <n v="446"/>
    <x v="7"/>
    <x v="96"/>
    <x v="3"/>
    <s v="128GB"/>
    <s v="Blue"/>
    <x v="383"/>
    <x v="9"/>
    <x v="431"/>
    <n v="4.8"/>
    <s v="Online Payment"/>
    <x v="0"/>
    <x v="0"/>
    <x v="0"/>
    <n v="1392.3"/>
    <n v="596.70000000000005"/>
  </r>
  <r>
    <n v="447"/>
    <x v="9"/>
    <x v="177"/>
    <x v="3"/>
    <s v="512GB"/>
    <s v="Black"/>
    <x v="384"/>
    <x v="4"/>
    <x v="432"/>
    <n v="3.9"/>
    <s v="Cash"/>
    <x v="6"/>
    <x v="6"/>
    <x v="0"/>
    <n v="4737.5999999999995"/>
    <n v="2030.4000000000005"/>
  </r>
  <r>
    <n v="448"/>
    <x v="3"/>
    <x v="34"/>
    <x v="0"/>
    <s v="512GB"/>
    <s v="Blue"/>
    <x v="254"/>
    <x v="17"/>
    <x v="433"/>
    <n v="4.0999999999999996"/>
    <s v="Credit Card"/>
    <x v="4"/>
    <x v="4"/>
    <x v="0"/>
    <n v="12420.8"/>
    <n v="5323.2000000000007"/>
  </r>
  <r>
    <n v="449"/>
    <x v="1"/>
    <x v="62"/>
    <x v="7"/>
    <s v="256GB"/>
    <s v="Silver"/>
    <x v="385"/>
    <x v="8"/>
    <x v="434"/>
    <n v="3.4"/>
    <s v="Credit Card"/>
    <x v="11"/>
    <x v="11"/>
    <x v="0"/>
    <n v="665"/>
    <n v="285"/>
  </r>
  <r>
    <n v="450"/>
    <x v="2"/>
    <x v="61"/>
    <x v="4"/>
    <s v="512GB"/>
    <s v="Silver"/>
    <x v="133"/>
    <x v="4"/>
    <x v="435"/>
    <n v="4.9000000000000004"/>
    <s v="Debit Card"/>
    <x v="10"/>
    <x v="10"/>
    <x v="0"/>
    <n v="2816.7999999999997"/>
    <n v="1207.2000000000003"/>
  </r>
  <r>
    <n v="451"/>
    <x v="8"/>
    <x v="117"/>
    <x v="3"/>
    <s v="256GB"/>
    <s v="Gold"/>
    <x v="386"/>
    <x v="4"/>
    <x v="436"/>
    <n v="4"/>
    <s v="Cash"/>
    <x v="6"/>
    <x v="6"/>
    <x v="0"/>
    <n v="3684.7999999999997"/>
    <n v="1579.2000000000003"/>
  </r>
  <r>
    <n v="452"/>
    <x v="9"/>
    <x v="163"/>
    <x v="1"/>
    <s v="64GB"/>
    <s v="Gold"/>
    <x v="387"/>
    <x v="1"/>
    <x v="437"/>
    <n v="3.4"/>
    <s v="Online Payment"/>
    <x v="4"/>
    <x v="4"/>
    <x v="0"/>
    <n v="7238.7"/>
    <n v="3102.3"/>
  </r>
  <r>
    <n v="453"/>
    <x v="1"/>
    <x v="178"/>
    <x v="5"/>
    <s v="512GB"/>
    <s v="Silver"/>
    <x v="211"/>
    <x v="19"/>
    <x v="438"/>
    <n v="3.5"/>
    <s v="Cash"/>
    <x v="7"/>
    <x v="7"/>
    <x v="0"/>
    <n v="5640.5999999999995"/>
    <n v="2417.4000000000005"/>
  </r>
  <r>
    <n v="454"/>
    <x v="1"/>
    <x v="114"/>
    <x v="5"/>
    <s v="64GB"/>
    <s v="Gold"/>
    <x v="388"/>
    <x v="9"/>
    <x v="439"/>
    <n v="4.9000000000000004"/>
    <s v="Cash"/>
    <x v="0"/>
    <x v="0"/>
    <x v="0"/>
    <n v="2648.1"/>
    <n v="1134.9000000000001"/>
  </r>
  <r>
    <n v="455"/>
    <x v="9"/>
    <x v="179"/>
    <x v="5"/>
    <s v="128GB"/>
    <s v="White"/>
    <x v="389"/>
    <x v="4"/>
    <x v="440"/>
    <n v="4.5"/>
    <s v="Credit Card"/>
    <x v="7"/>
    <x v="7"/>
    <x v="0"/>
    <n v="4138.3999999999996"/>
    <n v="1773.6000000000004"/>
  </r>
  <r>
    <n v="456"/>
    <x v="2"/>
    <x v="104"/>
    <x v="3"/>
    <s v="256GB"/>
    <s v="Black"/>
    <x v="390"/>
    <x v="18"/>
    <x v="441"/>
    <n v="3.7"/>
    <s v="Online Payment"/>
    <x v="6"/>
    <x v="6"/>
    <x v="0"/>
    <n v="9748.1999999999989"/>
    <n v="4177.8000000000011"/>
  </r>
  <r>
    <n v="457"/>
    <x v="2"/>
    <x v="136"/>
    <x v="0"/>
    <s v="64GB"/>
    <s v="Silver"/>
    <x v="391"/>
    <x v="9"/>
    <x v="442"/>
    <n v="4.4000000000000004"/>
    <s v="Online Payment"/>
    <x v="10"/>
    <x v="10"/>
    <x v="0"/>
    <n v="1129.8"/>
    <n v="484.20000000000005"/>
  </r>
  <r>
    <n v="458"/>
    <x v="5"/>
    <x v="111"/>
    <x v="3"/>
    <s v="64GB"/>
    <s v="Green"/>
    <x v="325"/>
    <x v="2"/>
    <x v="443"/>
    <n v="3.9"/>
    <s v="Credit Card"/>
    <x v="11"/>
    <x v="11"/>
    <x v="0"/>
    <n v="6722.7999999999993"/>
    <n v="2881.2000000000007"/>
  </r>
  <r>
    <n v="459"/>
    <x v="7"/>
    <x v="180"/>
    <x v="4"/>
    <s v="128GB"/>
    <s v="White"/>
    <x v="244"/>
    <x v="7"/>
    <x v="444"/>
    <n v="3.8"/>
    <s v="Online Payment"/>
    <x v="5"/>
    <x v="5"/>
    <x v="0"/>
    <n v="2842"/>
    <n v="1218"/>
  </r>
  <r>
    <n v="460"/>
    <x v="5"/>
    <x v="13"/>
    <x v="5"/>
    <s v="128GB"/>
    <s v="Gold"/>
    <x v="392"/>
    <x v="14"/>
    <x v="445"/>
    <n v="3.9"/>
    <s v="Cash"/>
    <x v="7"/>
    <x v="7"/>
    <x v="0"/>
    <n v="12175.8"/>
    <n v="5218.2000000000007"/>
  </r>
  <r>
    <n v="461"/>
    <x v="2"/>
    <x v="2"/>
    <x v="8"/>
    <s v="128GB"/>
    <s v="Silver"/>
    <x v="393"/>
    <x v="2"/>
    <x v="446"/>
    <n v="3.8"/>
    <s v="Cash"/>
    <x v="9"/>
    <x v="9"/>
    <x v="0"/>
    <n v="2748.8999999999996"/>
    <n v="1178.1000000000004"/>
  </r>
  <r>
    <n v="462"/>
    <x v="7"/>
    <x v="144"/>
    <x v="0"/>
    <s v="64GB"/>
    <s v="Green"/>
    <x v="100"/>
    <x v="10"/>
    <x v="447"/>
    <n v="4.5"/>
    <s v="Cash"/>
    <x v="5"/>
    <x v="5"/>
    <x v="0"/>
    <n v="7565.5999999999995"/>
    <n v="3242.4000000000005"/>
  </r>
  <r>
    <n v="463"/>
    <x v="5"/>
    <x v="13"/>
    <x v="7"/>
    <s v="128GB"/>
    <s v="White"/>
    <x v="394"/>
    <x v="7"/>
    <x v="448"/>
    <n v="3.8"/>
    <s v="Installments"/>
    <x v="3"/>
    <x v="3"/>
    <x v="0"/>
    <n v="2144.7999999999997"/>
    <n v="919.20000000000027"/>
  </r>
  <r>
    <n v="464"/>
    <x v="8"/>
    <x v="102"/>
    <x v="7"/>
    <s v="512GB"/>
    <s v="Black"/>
    <x v="395"/>
    <x v="10"/>
    <x v="449"/>
    <n v="3.2"/>
    <s v="Installments"/>
    <x v="3"/>
    <x v="3"/>
    <x v="0"/>
    <n v="12622.4"/>
    <n v="5409.6"/>
  </r>
  <r>
    <n v="465"/>
    <x v="0"/>
    <x v="181"/>
    <x v="5"/>
    <s v="128GB"/>
    <s v="Gold"/>
    <x v="57"/>
    <x v="6"/>
    <x v="450"/>
    <n v="4"/>
    <s v="Credit Card"/>
    <x v="4"/>
    <x v="4"/>
    <x v="0"/>
    <n v="3973.2"/>
    <n v="1702.8000000000002"/>
  </r>
  <r>
    <n v="466"/>
    <x v="5"/>
    <x v="182"/>
    <x v="9"/>
    <s v="128GB"/>
    <s v="Green"/>
    <x v="396"/>
    <x v="2"/>
    <x v="451"/>
    <n v="4.9000000000000004"/>
    <s v="Online Payment"/>
    <x v="9"/>
    <x v="9"/>
    <x v="0"/>
    <n v="4836.2999999999993"/>
    <n v="2072.7000000000007"/>
  </r>
  <r>
    <n v="467"/>
    <x v="9"/>
    <x v="179"/>
    <x v="3"/>
    <s v="128GB"/>
    <s v="Green"/>
    <x v="181"/>
    <x v="13"/>
    <x v="452"/>
    <n v="5"/>
    <s v="Online Payment"/>
    <x v="0"/>
    <x v="0"/>
    <x v="0"/>
    <n v="8035.9999999999991"/>
    <n v="3444.0000000000009"/>
  </r>
  <r>
    <n v="468"/>
    <x v="0"/>
    <x v="183"/>
    <x v="2"/>
    <s v="256GB"/>
    <s v="White"/>
    <x v="397"/>
    <x v="8"/>
    <x v="453"/>
    <n v="4.3"/>
    <s v="Debit Card"/>
    <x v="7"/>
    <x v="7"/>
    <x v="0"/>
    <n v="1433.6"/>
    <n v="614.40000000000009"/>
  </r>
  <r>
    <n v="469"/>
    <x v="8"/>
    <x v="184"/>
    <x v="5"/>
    <s v="512GB"/>
    <s v="White"/>
    <x v="398"/>
    <x v="18"/>
    <x v="454"/>
    <n v="3.2"/>
    <s v="Credit Card"/>
    <x v="10"/>
    <x v="10"/>
    <x v="0"/>
    <n v="10333.4"/>
    <n v="4428.6000000000004"/>
  </r>
  <r>
    <n v="470"/>
    <x v="4"/>
    <x v="148"/>
    <x v="3"/>
    <s v="64GB"/>
    <s v="White"/>
    <x v="230"/>
    <x v="11"/>
    <x v="455"/>
    <n v="3.6"/>
    <s v="Installments"/>
    <x v="6"/>
    <x v="6"/>
    <x v="0"/>
    <n v="7459.2"/>
    <n v="3196.8"/>
  </r>
  <r>
    <n v="471"/>
    <x v="7"/>
    <x v="110"/>
    <x v="1"/>
    <s v="256GB"/>
    <s v="Black"/>
    <x v="399"/>
    <x v="5"/>
    <x v="456"/>
    <n v="3.6"/>
    <s v="Installments"/>
    <x v="6"/>
    <x v="6"/>
    <x v="0"/>
    <n v="7244.9999999999991"/>
    <n v="3105.0000000000009"/>
  </r>
  <r>
    <n v="472"/>
    <x v="7"/>
    <x v="100"/>
    <x v="5"/>
    <s v="64GB"/>
    <s v="White"/>
    <x v="400"/>
    <x v="6"/>
    <x v="457"/>
    <n v="4.3"/>
    <s v="Installments"/>
    <x v="7"/>
    <x v="7"/>
    <x v="0"/>
    <n v="12087.599999999999"/>
    <n v="5180.4000000000015"/>
  </r>
  <r>
    <n v="473"/>
    <x v="3"/>
    <x v="38"/>
    <x v="7"/>
    <s v="512GB"/>
    <s v="Blue"/>
    <x v="401"/>
    <x v="1"/>
    <x v="458"/>
    <n v="4.7"/>
    <s v="Cash"/>
    <x v="4"/>
    <x v="4"/>
    <x v="0"/>
    <n v="4838.3999999999996"/>
    <n v="2073.6000000000004"/>
  </r>
  <r>
    <n v="474"/>
    <x v="4"/>
    <x v="47"/>
    <x v="7"/>
    <s v="512GB"/>
    <s v="Black"/>
    <x v="402"/>
    <x v="2"/>
    <x v="459"/>
    <n v="4.2"/>
    <s v="Installments"/>
    <x v="11"/>
    <x v="11"/>
    <x v="0"/>
    <n v="7227.4999999999991"/>
    <n v="3097.5000000000009"/>
  </r>
  <r>
    <n v="475"/>
    <x v="4"/>
    <x v="47"/>
    <x v="6"/>
    <s v="256GB"/>
    <s v="Silver"/>
    <x v="403"/>
    <x v="14"/>
    <x v="460"/>
    <n v="4.5999999999999996"/>
    <s v="Debit Card"/>
    <x v="8"/>
    <x v="8"/>
    <x v="0"/>
    <n v="3758.2999999999997"/>
    <n v="1610.7000000000003"/>
  </r>
  <r>
    <n v="476"/>
    <x v="7"/>
    <x v="149"/>
    <x v="7"/>
    <s v="64GB"/>
    <s v="Gold"/>
    <x v="404"/>
    <x v="12"/>
    <x v="461"/>
    <n v="3.6"/>
    <s v="Online Payment"/>
    <x v="5"/>
    <x v="5"/>
    <x v="0"/>
    <n v="1771"/>
    <n v="759"/>
  </r>
  <r>
    <n v="477"/>
    <x v="5"/>
    <x v="88"/>
    <x v="5"/>
    <s v="512GB"/>
    <s v="Black"/>
    <x v="382"/>
    <x v="2"/>
    <x v="462"/>
    <n v="3.8"/>
    <s v="Cash"/>
    <x v="9"/>
    <x v="9"/>
    <x v="0"/>
    <n v="4459"/>
    <n v="1911"/>
  </r>
  <r>
    <n v="478"/>
    <x v="2"/>
    <x v="185"/>
    <x v="3"/>
    <s v="128GB"/>
    <s v="Black"/>
    <x v="263"/>
    <x v="19"/>
    <x v="463"/>
    <n v="3.1"/>
    <s v="Cash"/>
    <x v="5"/>
    <x v="5"/>
    <x v="0"/>
    <n v="12161.8"/>
    <n v="5212.2000000000007"/>
  </r>
  <r>
    <n v="479"/>
    <x v="1"/>
    <x v="78"/>
    <x v="0"/>
    <s v="256GB"/>
    <s v="Black"/>
    <x v="405"/>
    <x v="15"/>
    <x v="464"/>
    <n v="4.4000000000000004"/>
    <s v="Online Payment"/>
    <x v="10"/>
    <x v="10"/>
    <x v="0"/>
    <n v="3061.7999999999997"/>
    <n v="1312.2000000000003"/>
  </r>
  <r>
    <n v="480"/>
    <x v="4"/>
    <x v="148"/>
    <x v="3"/>
    <s v="64GB"/>
    <s v="Gold"/>
    <x v="54"/>
    <x v="11"/>
    <x v="465"/>
    <n v="4.2"/>
    <s v="Debit Card"/>
    <x v="0"/>
    <x v="0"/>
    <x v="0"/>
    <n v="6249.5999999999995"/>
    <n v="2678.4000000000005"/>
  </r>
  <r>
    <n v="481"/>
    <x v="2"/>
    <x v="85"/>
    <x v="5"/>
    <s v="256GB"/>
    <s v="Gold"/>
    <x v="269"/>
    <x v="12"/>
    <x v="466"/>
    <n v="5"/>
    <s v="Debit Card"/>
    <x v="3"/>
    <x v="3"/>
    <x v="0"/>
    <n v="2481.5"/>
    <n v="1063.5"/>
  </r>
  <r>
    <n v="482"/>
    <x v="2"/>
    <x v="45"/>
    <x v="6"/>
    <s v="64GB"/>
    <s v="Silver"/>
    <x v="406"/>
    <x v="4"/>
    <x v="467"/>
    <n v="4.8"/>
    <s v="Debit Card"/>
    <x v="7"/>
    <x v="7"/>
    <x v="0"/>
    <n v="6182.4"/>
    <n v="2649.6000000000004"/>
  </r>
  <r>
    <n v="483"/>
    <x v="1"/>
    <x v="108"/>
    <x v="3"/>
    <s v="256GB"/>
    <s v="Silver"/>
    <x v="278"/>
    <x v="18"/>
    <x v="468"/>
    <n v="4.5"/>
    <s v="Debit Card"/>
    <x v="11"/>
    <x v="11"/>
    <x v="0"/>
    <n v="8146.5999999999995"/>
    <n v="3491.4000000000005"/>
  </r>
  <r>
    <n v="484"/>
    <x v="3"/>
    <x v="186"/>
    <x v="4"/>
    <s v="128GB"/>
    <s v="Black"/>
    <x v="407"/>
    <x v="3"/>
    <x v="469"/>
    <n v="4.7"/>
    <s v="Debit Card"/>
    <x v="4"/>
    <x v="4"/>
    <x v="0"/>
    <n v="7235.2"/>
    <n v="3100.8"/>
  </r>
  <r>
    <n v="485"/>
    <x v="2"/>
    <x v="131"/>
    <x v="6"/>
    <s v="512GB"/>
    <s v="Green"/>
    <x v="349"/>
    <x v="19"/>
    <x v="470"/>
    <n v="4.0999999999999996"/>
    <s v="Debit Card"/>
    <x v="7"/>
    <x v="7"/>
    <x v="0"/>
    <n v="6295.0999999999995"/>
    <n v="2697.9000000000005"/>
  </r>
  <r>
    <n v="486"/>
    <x v="7"/>
    <x v="154"/>
    <x v="3"/>
    <s v="128GB"/>
    <s v="Black"/>
    <x v="408"/>
    <x v="13"/>
    <x v="471"/>
    <n v="4.0999999999999996"/>
    <s v="Installments"/>
    <x v="2"/>
    <x v="2"/>
    <x v="0"/>
    <n v="3031"/>
    <n v="1299"/>
  </r>
  <r>
    <n v="487"/>
    <x v="4"/>
    <x v="47"/>
    <x v="7"/>
    <s v="512GB"/>
    <s v="Green"/>
    <x v="382"/>
    <x v="9"/>
    <x v="472"/>
    <n v="3.8"/>
    <s v="Cash"/>
    <x v="5"/>
    <x v="5"/>
    <x v="0"/>
    <n v="1910.9999999999998"/>
    <n v="819.00000000000023"/>
  </r>
  <r>
    <n v="488"/>
    <x v="0"/>
    <x v="12"/>
    <x v="4"/>
    <s v="512GB"/>
    <s v="White"/>
    <x v="142"/>
    <x v="17"/>
    <x v="473"/>
    <n v="3.5"/>
    <s v="Online Payment"/>
    <x v="2"/>
    <x v="2"/>
    <x v="0"/>
    <n v="7335.9999999999991"/>
    <n v="3144.0000000000009"/>
  </r>
  <r>
    <n v="489"/>
    <x v="3"/>
    <x v="122"/>
    <x v="7"/>
    <s v="256GB"/>
    <s v="Silver"/>
    <x v="409"/>
    <x v="19"/>
    <x v="474"/>
    <n v="3.2"/>
    <s v="Debit Card"/>
    <x v="2"/>
    <x v="2"/>
    <x v="0"/>
    <n v="4533.8999999999996"/>
    <n v="1943.1000000000004"/>
  </r>
  <r>
    <n v="490"/>
    <x v="7"/>
    <x v="18"/>
    <x v="9"/>
    <s v="64GB"/>
    <s v="Green"/>
    <x v="410"/>
    <x v="8"/>
    <x v="475"/>
    <n v="3.2"/>
    <s v="Cash"/>
    <x v="10"/>
    <x v="10"/>
    <x v="0"/>
    <n v="953.4"/>
    <n v="408.6"/>
  </r>
  <r>
    <n v="491"/>
    <x v="2"/>
    <x v="45"/>
    <x v="7"/>
    <s v="512GB"/>
    <s v="Black"/>
    <x v="411"/>
    <x v="14"/>
    <x v="476"/>
    <n v="3.5"/>
    <s v="Online Payment"/>
    <x v="10"/>
    <x v="10"/>
    <x v="0"/>
    <n v="6097"/>
    <n v="2613"/>
  </r>
  <r>
    <n v="492"/>
    <x v="9"/>
    <x v="48"/>
    <x v="3"/>
    <s v="64GB"/>
    <s v="Green"/>
    <x v="412"/>
    <x v="10"/>
    <x v="346"/>
    <n v="4"/>
    <s v="Credit Card"/>
    <x v="6"/>
    <x v="6"/>
    <x v="0"/>
    <n v="5203.7999999999993"/>
    <n v="2230.2000000000007"/>
  </r>
  <r>
    <n v="493"/>
    <x v="1"/>
    <x v="145"/>
    <x v="3"/>
    <s v="512GB"/>
    <s v="White"/>
    <x v="413"/>
    <x v="15"/>
    <x v="465"/>
    <n v="4"/>
    <s v="Debit Card"/>
    <x v="2"/>
    <x v="2"/>
    <x v="0"/>
    <n v="6249.5999999999995"/>
    <n v="2678.4000000000005"/>
  </r>
  <r>
    <n v="494"/>
    <x v="1"/>
    <x v="1"/>
    <x v="2"/>
    <s v="64GB"/>
    <s v="Blue"/>
    <x v="290"/>
    <x v="19"/>
    <x v="477"/>
    <n v="4.3"/>
    <s v="Debit Card"/>
    <x v="2"/>
    <x v="2"/>
    <x v="0"/>
    <n v="17647.699999999997"/>
    <n v="7563.3000000000029"/>
  </r>
  <r>
    <n v="495"/>
    <x v="0"/>
    <x v="139"/>
    <x v="1"/>
    <s v="128GB"/>
    <s v="Gold"/>
    <x v="414"/>
    <x v="9"/>
    <x v="478"/>
    <n v="3.8"/>
    <s v="Credit Card"/>
    <x v="11"/>
    <x v="11"/>
    <x v="0"/>
    <n v="1999.1999999999998"/>
    <n v="856.80000000000018"/>
  </r>
  <r>
    <n v="496"/>
    <x v="6"/>
    <x v="187"/>
    <x v="0"/>
    <s v="128GB"/>
    <s v="Blue"/>
    <x v="415"/>
    <x v="13"/>
    <x v="248"/>
    <n v="3.5"/>
    <s v="Debit Card"/>
    <x v="2"/>
    <x v="2"/>
    <x v="0"/>
    <n v="2597"/>
    <n v="1113"/>
  </r>
  <r>
    <n v="497"/>
    <x v="3"/>
    <x v="140"/>
    <x v="7"/>
    <s v="128GB"/>
    <s v="Gold"/>
    <x v="94"/>
    <x v="4"/>
    <x v="479"/>
    <n v="5"/>
    <s v="Installments"/>
    <x v="9"/>
    <x v="9"/>
    <x v="0"/>
    <n v="2318.3999999999996"/>
    <n v="993.60000000000036"/>
  </r>
  <r>
    <n v="498"/>
    <x v="1"/>
    <x v="40"/>
    <x v="9"/>
    <s v="256GB"/>
    <s v="Blue"/>
    <x v="48"/>
    <x v="19"/>
    <x v="480"/>
    <n v="4.5999999999999996"/>
    <s v="Cash"/>
    <x v="9"/>
    <x v="9"/>
    <x v="0"/>
    <n v="3736.6"/>
    <n v="1601.4"/>
  </r>
  <r>
    <n v="499"/>
    <x v="5"/>
    <x v="119"/>
    <x v="5"/>
    <s v="128GB"/>
    <s v="Gold"/>
    <x v="77"/>
    <x v="16"/>
    <x v="481"/>
    <n v="4.5"/>
    <s v="Cash"/>
    <x v="2"/>
    <x v="2"/>
    <x v="0"/>
    <n v="239.39999999999998"/>
    <n v="102.60000000000002"/>
  </r>
  <r>
    <n v="500"/>
    <x v="3"/>
    <x v="103"/>
    <x v="0"/>
    <s v="64GB"/>
    <s v="Gold"/>
    <x v="146"/>
    <x v="7"/>
    <x v="482"/>
    <n v="3.2"/>
    <s v="Installments"/>
    <x v="6"/>
    <x v="6"/>
    <x v="0"/>
    <n v="4079.6"/>
    <n v="1748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4" firstHeaderRow="1" firstDataRow="1" firstDataCol="1"/>
  <pivotFields count="16">
    <pivotField showAll="0"/>
    <pivotField axis="axisRow" showAll="0">
      <items count="11">
        <item x="8"/>
        <item x="9"/>
        <item x="4"/>
        <item x="2"/>
        <item x="6"/>
        <item x="7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84">
        <item x="311"/>
        <item x="481"/>
        <item x="187"/>
        <item x="345"/>
        <item x="140"/>
        <item x="59"/>
        <item x="213"/>
        <item x="305"/>
        <item x="382"/>
        <item x="75"/>
        <item x="427"/>
        <item x="347"/>
        <item x="393"/>
        <item x="153"/>
        <item x="48"/>
        <item x="34"/>
        <item x="181"/>
        <item x="434"/>
        <item x="125"/>
        <item x="178"/>
        <item x="36"/>
        <item x="337"/>
        <item x="26"/>
        <item x="373"/>
        <item x="357"/>
        <item x="426"/>
        <item x="475"/>
        <item x="80"/>
        <item x="53"/>
        <item x="408"/>
        <item x="293"/>
        <item x="93"/>
        <item x="116"/>
        <item x="141"/>
        <item x="31"/>
        <item x="374"/>
        <item x="442"/>
        <item x="107"/>
        <item x="320"/>
        <item x="336"/>
        <item x="387"/>
        <item x="9"/>
        <item x="202"/>
        <item x="29"/>
        <item x="8"/>
        <item x="431"/>
        <item x="368"/>
        <item x="215"/>
        <item x="380"/>
        <item x="453"/>
        <item x="70"/>
        <item x="260"/>
        <item x="392"/>
        <item x="303"/>
        <item x="369"/>
        <item x="155"/>
        <item x="132"/>
        <item x="158"/>
        <item x="162"/>
        <item x="40"/>
        <item x="334"/>
        <item x="152"/>
        <item x="99"/>
        <item x="49"/>
        <item x="199"/>
        <item x="461"/>
        <item x="331"/>
        <item x="323"/>
        <item x="175"/>
        <item x="264"/>
        <item x="273"/>
        <item x="133"/>
        <item x="472"/>
        <item x="186"/>
        <item x="142"/>
        <item x="16"/>
        <item x="10"/>
        <item x="301"/>
        <item x="47"/>
        <item x="478"/>
        <item x="356"/>
        <item x="399"/>
        <item x="249"/>
        <item x="66"/>
        <item x="245"/>
        <item x="56"/>
        <item x="4"/>
        <item x="89"/>
        <item x="173"/>
        <item x="44"/>
        <item x="448"/>
        <item x="360"/>
        <item x="150"/>
        <item x="294"/>
        <item x="235"/>
        <item x="200"/>
        <item x="227"/>
        <item x="394"/>
        <item x="479"/>
        <item x="272"/>
        <item x="177"/>
        <item x="383"/>
        <item x="58"/>
        <item x="284"/>
        <item x="222"/>
        <item x="180"/>
        <item x="236"/>
        <item x="278"/>
        <item x="466"/>
        <item x="270"/>
        <item x="354"/>
        <item x="424"/>
        <item x="117"/>
        <item x="248"/>
        <item x="285"/>
        <item x="439"/>
        <item x="220"/>
        <item x="314"/>
        <item x="46"/>
        <item x="446"/>
        <item x="179"/>
        <item x="63"/>
        <item x="139"/>
        <item x="404"/>
        <item x="435"/>
        <item x="113"/>
        <item x="130"/>
        <item x="444"/>
        <item x="122"/>
        <item x="137"/>
        <item x="327"/>
        <item x="300"/>
        <item x="108"/>
        <item x="38"/>
        <item x="471"/>
        <item x="24"/>
        <item x="464"/>
        <item x="358"/>
        <item x="312"/>
        <item x="280"/>
        <item x="391"/>
        <item x="97"/>
        <item x="375"/>
        <item x="355"/>
        <item x="289"/>
        <item x="286"/>
        <item x="244"/>
        <item x="35"/>
        <item x="166"/>
        <item x="145"/>
        <item x="67"/>
        <item x="167"/>
        <item x="103"/>
        <item x="307"/>
        <item x="7"/>
        <item x="419"/>
        <item x="348"/>
        <item x="229"/>
        <item x="389"/>
        <item x="21"/>
        <item x="246"/>
        <item x="409"/>
        <item x="310"/>
        <item x="232"/>
        <item x="436"/>
        <item x="95"/>
        <item x="271"/>
        <item x="480"/>
        <item x="17"/>
        <item x="460"/>
        <item x="372"/>
        <item x="164"/>
        <item x="100"/>
        <item x="214"/>
        <item x="450"/>
        <item x="124"/>
        <item x="482"/>
        <item x="165"/>
        <item x="440"/>
        <item x="33"/>
        <item x="401"/>
        <item x="365"/>
        <item x="366"/>
        <item x="276"/>
        <item x="74"/>
        <item x="111"/>
        <item x="326"/>
        <item x="224"/>
        <item x="101"/>
        <item x="223"/>
        <item x="115"/>
        <item x="343"/>
        <item x="77"/>
        <item x="462"/>
        <item x="68"/>
        <item x="62"/>
        <item x="20"/>
        <item x="474"/>
        <item x="118"/>
        <item x="193"/>
        <item x="421"/>
        <item x="211"/>
        <item x="417"/>
        <item x="302"/>
        <item x="353"/>
        <item x="432"/>
        <item x="198"/>
        <item x="154"/>
        <item x="451"/>
        <item x="458"/>
        <item x="256"/>
        <item x="225"/>
        <item x="342"/>
        <item x="328"/>
        <item x="204"/>
        <item x="209"/>
        <item x="318"/>
        <item x="397"/>
        <item x="400"/>
        <item x="234"/>
        <item x="119"/>
        <item x="114"/>
        <item x="346"/>
        <item x="41"/>
        <item x="76"/>
        <item x="43"/>
        <item x="425"/>
        <item x="332"/>
        <item x="129"/>
        <item x="102"/>
        <item x="269"/>
        <item x="319"/>
        <item x="157"/>
        <item x="23"/>
        <item x="147"/>
        <item x="105"/>
        <item x="216"/>
        <item x="308"/>
        <item x="91"/>
        <item x="438"/>
        <item x="12"/>
        <item x="261"/>
        <item x="168"/>
        <item x="86"/>
        <item x="428"/>
        <item x="196"/>
        <item x="65"/>
        <item x="414"/>
        <item x="367"/>
        <item x="27"/>
        <item x="299"/>
        <item x="134"/>
        <item x="315"/>
        <item x="295"/>
        <item x="322"/>
        <item x="476"/>
        <item x="84"/>
        <item x="83"/>
        <item x="230"/>
        <item x="195"/>
        <item x="160"/>
        <item x="467"/>
        <item x="247"/>
        <item x="73"/>
        <item x="465"/>
        <item x="470"/>
        <item x="379"/>
        <item x="313"/>
        <item x="321"/>
        <item x="430"/>
        <item x="1"/>
        <item x="143"/>
        <item x="190"/>
        <item x="406"/>
        <item x="237"/>
        <item x="338"/>
        <item x="282"/>
        <item x="169"/>
        <item x="217"/>
        <item x="170"/>
        <item x="257"/>
        <item x="203"/>
        <item x="69"/>
        <item x="13"/>
        <item x="390"/>
        <item x="443"/>
        <item x="112"/>
        <item x="183"/>
        <item x="32"/>
        <item x="82"/>
        <item x="317"/>
        <item x="251"/>
        <item x="39"/>
        <item x="297"/>
        <item x="263"/>
        <item x="136"/>
        <item x="163"/>
        <item x="324"/>
        <item x="418"/>
        <item x="104"/>
        <item x="410"/>
        <item x="243"/>
        <item x="110"/>
        <item x="2"/>
        <item x="242"/>
        <item x="25"/>
        <item x="459"/>
        <item x="469"/>
        <item x="437"/>
        <item x="456"/>
        <item x="228"/>
        <item x="92"/>
        <item x="22"/>
        <item x="473"/>
        <item x="335"/>
        <item x="422"/>
        <item x="455"/>
        <item x="250"/>
        <item x="71"/>
        <item x="395"/>
        <item x="447"/>
        <item x="268"/>
        <item x="98"/>
        <item x="452"/>
        <item x="468"/>
        <item x="148"/>
        <item x="210"/>
        <item x="429"/>
        <item x="144"/>
        <item x="283"/>
        <item x="87"/>
        <item x="81"/>
        <item x="79"/>
        <item x="171"/>
        <item x="189"/>
        <item x="149"/>
        <item x="386"/>
        <item x="364"/>
        <item x="172"/>
        <item x="398"/>
        <item x="78"/>
        <item x="265"/>
        <item x="267"/>
        <item x="188"/>
        <item x="304"/>
        <item x="290"/>
        <item x="90"/>
        <item x="274"/>
        <item x="131"/>
        <item x="54"/>
        <item x="287"/>
        <item x="363"/>
        <item x="325"/>
        <item x="240"/>
        <item x="182"/>
        <item x="384"/>
        <item x="0"/>
        <item x="423"/>
        <item x="288"/>
        <item x="388"/>
        <item x="197"/>
        <item x="371"/>
        <item x="11"/>
        <item x="60"/>
        <item x="412"/>
        <item x="239"/>
        <item x="64"/>
        <item x="42"/>
        <item x="219"/>
        <item x="262"/>
        <item x="174"/>
        <item x="51"/>
        <item x="298"/>
        <item x="441"/>
        <item x="120"/>
        <item x="413"/>
        <item x="255"/>
        <item x="378"/>
        <item x="258"/>
        <item x="231"/>
        <item x="19"/>
        <item x="454"/>
        <item x="415"/>
        <item x="106"/>
        <item x="138"/>
        <item x="361"/>
        <item x="233"/>
        <item x="259"/>
        <item x="191"/>
        <item x="88"/>
        <item x="57"/>
        <item x="194"/>
        <item x="306"/>
        <item x="176"/>
        <item x="201"/>
        <item x="329"/>
        <item x="241"/>
        <item x="156"/>
        <item x="146"/>
        <item x="14"/>
        <item x="420"/>
        <item x="208"/>
        <item x="309"/>
        <item x="252"/>
        <item x="96"/>
        <item x="159"/>
        <item x="296"/>
        <item x="292"/>
        <item x="221"/>
        <item x="94"/>
        <item x="275"/>
        <item x="349"/>
        <item x="5"/>
        <item x="341"/>
        <item x="37"/>
        <item x="370"/>
        <item x="405"/>
        <item x="457"/>
        <item x="18"/>
        <item x="463"/>
        <item x="445"/>
        <item x="279"/>
        <item x="30"/>
        <item x="192"/>
        <item x="15"/>
        <item x="433"/>
        <item x="340"/>
        <item x="449"/>
        <item x="407"/>
        <item x="411"/>
        <item x="85"/>
        <item x="123"/>
        <item x="207"/>
        <item x="226"/>
        <item x="277"/>
        <item x="377"/>
        <item x="28"/>
        <item x="151"/>
        <item x="212"/>
        <item x="281"/>
        <item x="253"/>
        <item x="205"/>
        <item x="416"/>
        <item x="121"/>
        <item x="350"/>
        <item x="72"/>
        <item x="45"/>
        <item x="352"/>
        <item x="402"/>
        <item x="135"/>
        <item x="184"/>
        <item x="385"/>
        <item x="396"/>
        <item x="238"/>
        <item x="61"/>
        <item x="254"/>
        <item x="330"/>
        <item x="266"/>
        <item x="359"/>
        <item x="344"/>
        <item x="3"/>
        <item x="6"/>
        <item x="52"/>
        <item x="206"/>
        <item x="351"/>
        <item x="127"/>
        <item x="291"/>
        <item x="128"/>
        <item x="376"/>
        <item x="185"/>
        <item x="50"/>
        <item x="126"/>
        <item x="477"/>
        <item x="218"/>
        <item x="55"/>
        <item x="381"/>
        <item x="339"/>
        <item x="109"/>
        <item x="362"/>
        <item x="403"/>
        <item x="333"/>
        <item x="161"/>
        <item x="3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_USD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x="3"/>
        <item x="1"/>
        <item x="5"/>
        <item x="11"/>
        <item x="10"/>
        <item x="2"/>
        <item x="9"/>
        <item x="4"/>
        <item x="6"/>
        <item x="7"/>
        <item x="0"/>
        <item x="8"/>
        <item t="default"/>
      </items>
    </pivotField>
    <pivotField axis="axisRow" showAll="0">
      <items count="13">
        <item x="3"/>
        <item x="1"/>
        <item x="5"/>
        <item x="11"/>
        <item x="10"/>
        <item x="2"/>
        <item x="9"/>
        <item x="4"/>
        <item x="6"/>
        <item x="7"/>
        <item x="0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showAll="0"/>
  </pivotFields>
  <rowFields count="2">
    <field x="13"/>
    <field x="12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Revenue_USD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4" firstHeaderRow="1" firstDataRow="1" firstDataCol="1"/>
  <pivotFields count="16">
    <pivotField showAll="0"/>
    <pivotField axis="axisRow" showAll="0">
      <items count="11">
        <item x="8"/>
        <item x="9"/>
        <item x="4"/>
        <item x="2"/>
        <item x="6"/>
        <item x="7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ustomer_Rating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L15" firstHeaderRow="1" firstDataRow="2" firstDataCol="1"/>
  <pivotFields count="16">
    <pivotField showAll="0"/>
    <pivotField axis="axisCol" showAll="0">
      <items count="11">
        <item x="8"/>
        <item x="9"/>
        <item x="4"/>
        <item x="2"/>
        <item x="6"/>
        <item x="7"/>
        <item x="0"/>
        <item x="5"/>
        <item x="1"/>
        <item x="3"/>
        <item t="default"/>
      </items>
    </pivotField>
    <pivotField showAll="0"/>
    <pivotField axis="axisRow" showAll="0">
      <items count="11">
        <item x="1"/>
        <item x="7"/>
        <item x="5"/>
        <item x="2"/>
        <item x="6"/>
        <item x="9"/>
        <item x="8"/>
        <item x="4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_USD" fld="8" baseField="0" baseItem="0"/>
  </dataFields>
  <chartFormats count="30">
    <chartFormat chart="0" format="2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2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26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27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28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29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30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31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3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3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9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40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41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4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4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enue_USD" fld="8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6">
    <pivotField showAll="0"/>
    <pivotField axis="axisRow" showAll="0" measureFilter="1">
      <items count="11">
        <item x="8"/>
        <item x="9"/>
        <item x="4"/>
        <item x="2"/>
        <item x="6"/>
        <item x="7"/>
        <item x="0"/>
        <item x="5"/>
        <item x="1"/>
        <item x="3"/>
        <item t="default"/>
      </items>
    </pivotField>
    <pivotField showAll="0">
      <items count="189">
        <item x="184"/>
        <item x="99"/>
        <item x="107"/>
        <item x="43"/>
        <item x="19"/>
        <item x="123"/>
        <item x="67"/>
        <item x="125"/>
        <item x="20"/>
        <item x="132"/>
        <item x="159"/>
        <item x="117"/>
        <item x="92"/>
        <item x="160"/>
        <item x="176"/>
        <item x="54"/>
        <item x="102"/>
        <item x="115"/>
        <item x="64"/>
        <item x="141"/>
        <item x="73"/>
        <item x="157"/>
        <item x="26"/>
        <item x="56"/>
        <item x="161"/>
        <item x="83"/>
        <item x="77"/>
        <item x="95"/>
        <item x="57"/>
        <item x="163"/>
        <item x="179"/>
        <item x="35"/>
        <item x="51"/>
        <item x="151"/>
        <item x="24"/>
        <item x="50"/>
        <item x="23"/>
        <item x="48"/>
        <item x="177"/>
        <item x="152"/>
        <item x="113"/>
        <item x="47"/>
        <item x="134"/>
        <item x="148"/>
        <item x="17"/>
        <item x="129"/>
        <item x="6"/>
        <item x="90"/>
        <item x="166"/>
        <item x="27"/>
        <item x="147"/>
        <item x="121"/>
        <item x="80"/>
        <item x="116"/>
        <item x="8"/>
        <item x="58"/>
        <item x="46"/>
        <item x="156"/>
        <item x="137"/>
        <item x="85"/>
        <item x="173"/>
        <item x="2"/>
        <item x="104"/>
        <item x="128"/>
        <item x="136"/>
        <item x="124"/>
        <item x="86"/>
        <item x="162"/>
        <item x="155"/>
        <item x="45"/>
        <item x="185"/>
        <item x="29"/>
        <item x="135"/>
        <item x="60"/>
        <item x="61"/>
        <item x="131"/>
        <item x="158"/>
        <item x="93"/>
        <item x="52"/>
        <item x="36"/>
        <item x="15"/>
        <item x="112"/>
        <item x="33"/>
        <item x="22"/>
        <item x="120"/>
        <item x="21"/>
        <item x="94"/>
        <item x="68"/>
        <item x="187"/>
        <item x="49"/>
        <item x="71"/>
        <item x="138"/>
        <item x="63"/>
        <item x="70"/>
        <item x="110"/>
        <item x="18"/>
        <item x="96"/>
        <item x="69"/>
        <item x="154"/>
        <item x="42"/>
        <item x="100"/>
        <item x="149"/>
        <item x="76"/>
        <item x="180"/>
        <item x="89"/>
        <item x="150"/>
        <item x="144"/>
        <item x="105"/>
        <item x="16"/>
        <item x="174"/>
        <item x="44"/>
        <item x="165"/>
        <item x="39"/>
        <item x="181"/>
        <item x="139"/>
        <item x="126"/>
        <item x="32"/>
        <item x="28"/>
        <item x="9"/>
        <item x="168"/>
        <item x="0"/>
        <item x="183"/>
        <item x="172"/>
        <item x="37"/>
        <item x="12"/>
        <item x="59"/>
        <item x="118"/>
        <item x="97"/>
        <item x="182"/>
        <item x="7"/>
        <item x="88"/>
        <item x="75"/>
        <item x="65"/>
        <item x="11"/>
        <item x="84"/>
        <item x="53"/>
        <item x="111"/>
        <item x="167"/>
        <item x="119"/>
        <item x="143"/>
        <item x="31"/>
        <item x="133"/>
        <item x="66"/>
        <item x="164"/>
        <item x="106"/>
        <item x="101"/>
        <item x="55"/>
        <item x="13"/>
        <item x="130"/>
        <item x="30"/>
        <item x="62"/>
        <item x="145"/>
        <item x="3"/>
        <item x="127"/>
        <item x="4"/>
        <item x="170"/>
        <item x="82"/>
        <item x="25"/>
        <item x="108"/>
        <item x="175"/>
        <item x="1"/>
        <item x="114"/>
        <item x="109"/>
        <item x="74"/>
        <item x="178"/>
        <item x="72"/>
        <item x="78"/>
        <item x="40"/>
        <item x="169"/>
        <item x="41"/>
        <item x="98"/>
        <item x="142"/>
        <item x="79"/>
        <item x="103"/>
        <item x="14"/>
        <item x="38"/>
        <item x="91"/>
        <item x="81"/>
        <item x="171"/>
        <item x="153"/>
        <item x="122"/>
        <item x="34"/>
        <item x="140"/>
        <item x="5"/>
        <item x="87"/>
        <item x="10"/>
        <item x="186"/>
        <item x="14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2"/>
    </i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Sum of Revenue_USD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8:B9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enue_USD" fld="8" baseField="0" baseItem="0" numFmtId="164"/>
  </dataFields>
  <formats count="12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4:B5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5" baseField="0" baseItem="0" numFmtId="164"/>
  </dataFields>
  <formats count="10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  <format dxfId="15">
      <pivotArea type="all" dataOnly="0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C22" sqref="C22"/>
    </sheetView>
  </sheetViews>
  <sheetFormatPr defaultRowHeight="15"/>
  <cols>
    <col min="1" max="1" width="13.140625" customWidth="1"/>
    <col min="2" max="2" width="20.42578125" customWidth="1"/>
    <col min="3" max="3" width="7.42578125" bestFit="1" customWidth="1"/>
    <col min="4" max="4" width="7.7109375" bestFit="1" customWidth="1"/>
    <col min="5" max="5" width="9.28515625" bestFit="1" customWidth="1"/>
    <col min="6" max="6" width="8.42578125" bestFit="1" customWidth="1"/>
    <col min="7" max="7" width="5.85546875" bestFit="1" customWidth="1"/>
    <col min="8" max="8" width="7.7109375" bestFit="1" customWidth="1"/>
    <col min="9" max="9" width="8.85546875" bestFit="1" customWidth="1"/>
    <col min="10" max="10" width="5" bestFit="1" customWidth="1"/>
    <col min="11" max="11" width="7.140625" bestFit="1" customWidth="1"/>
    <col min="12" max="12" width="11.28515625" bestFit="1" customWidth="1"/>
  </cols>
  <sheetData>
    <row r="3" spans="1:2">
      <c r="A3" s="2" t="s">
        <v>241</v>
      </c>
      <c r="B3" t="s">
        <v>242</v>
      </c>
    </row>
    <row r="4" spans="1:2">
      <c r="A4" s="3" t="s">
        <v>64</v>
      </c>
      <c r="B4" s="4">
        <v>472552</v>
      </c>
    </row>
    <row r="5" spans="1:2">
      <c r="A5" s="3" t="s">
        <v>69</v>
      </c>
      <c r="B5" s="4">
        <v>470623</v>
      </c>
    </row>
    <row r="6" spans="1:2">
      <c r="A6" s="3" t="s">
        <v>40</v>
      </c>
      <c r="B6" s="4">
        <v>494360</v>
      </c>
    </row>
    <row r="7" spans="1:2">
      <c r="A7" s="3" t="s">
        <v>24</v>
      </c>
      <c r="B7" s="4">
        <v>497446</v>
      </c>
    </row>
    <row r="8" spans="1:2">
      <c r="A8" s="3" t="s">
        <v>55</v>
      </c>
      <c r="B8" s="4">
        <v>423516</v>
      </c>
    </row>
    <row r="9" spans="1:2">
      <c r="A9" s="3" t="s">
        <v>58</v>
      </c>
      <c r="B9" s="4">
        <v>484666</v>
      </c>
    </row>
    <row r="10" spans="1:2">
      <c r="A10" s="3" t="s">
        <v>13</v>
      </c>
      <c r="B10" s="4">
        <v>384875</v>
      </c>
    </row>
    <row r="11" spans="1:2">
      <c r="A11" s="3" t="s">
        <v>44</v>
      </c>
      <c r="B11" s="4">
        <v>486589</v>
      </c>
    </row>
    <row r="12" spans="1:2">
      <c r="A12" s="3" t="s">
        <v>19</v>
      </c>
      <c r="B12" s="4">
        <v>488657</v>
      </c>
    </row>
    <row r="13" spans="1:2">
      <c r="A13" s="3" t="s">
        <v>36</v>
      </c>
      <c r="B13" s="4">
        <v>436357</v>
      </c>
    </row>
    <row r="14" spans="1:2">
      <c r="A14" s="3" t="s">
        <v>240</v>
      </c>
      <c r="B14" s="4">
        <v>4639641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7"/>
  <sheetViews>
    <sheetView workbookViewId="0">
      <selection activeCell="B7" sqref="B7"/>
    </sheetView>
  </sheetViews>
  <sheetFormatPr defaultRowHeight="15"/>
  <cols>
    <col min="1" max="1" width="14.5703125" customWidth="1"/>
    <col min="2" max="2" width="20.42578125" bestFit="1" customWidth="1"/>
  </cols>
  <sheetData>
    <row r="3" spans="1:2">
      <c r="A3" s="2" t="s">
        <v>241</v>
      </c>
      <c r="B3" t="s">
        <v>242</v>
      </c>
    </row>
    <row r="4" spans="1:2">
      <c r="A4" s="3">
        <v>2025</v>
      </c>
      <c r="B4" s="4">
        <v>4639641</v>
      </c>
    </row>
    <row r="5" spans="1:2">
      <c r="A5" s="5" t="s">
        <v>243</v>
      </c>
      <c r="B5" s="4">
        <v>343560</v>
      </c>
    </row>
    <row r="6" spans="1:2">
      <c r="A6" s="5" t="s">
        <v>244</v>
      </c>
      <c r="B6" s="4">
        <v>337167</v>
      </c>
    </row>
    <row r="7" spans="1:2">
      <c r="A7" s="5" t="s">
        <v>245</v>
      </c>
      <c r="B7" s="4">
        <v>507450</v>
      </c>
    </row>
    <row r="8" spans="1:2">
      <c r="A8" s="5" t="s">
        <v>246</v>
      </c>
      <c r="B8" s="4">
        <v>330569</v>
      </c>
    </row>
    <row r="9" spans="1:2">
      <c r="A9" s="5" t="s">
        <v>247</v>
      </c>
      <c r="B9" s="4">
        <v>280859</v>
      </c>
    </row>
    <row r="10" spans="1:2">
      <c r="A10" s="5" t="s">
        <v>248</v>
      </c>
      <c r="B10" s="4">
        <v>473153</v>
      </c>
    </row>
    <row r="11" spans="1:2">
      <c r="A11" s="5" t="s">
        <v>249</v>
      </c>
      <c r="B11" s="4">
        <v>411429</v>
      </c>
    </row>
    <row r="12" spans="1:2">
      <c r="A12" s="5" t="s">
        <v>250</v>
      </c>
      <c r="B12" s="4">
        <v>371536</v>
      </c>
    </row>
    <row r="13" spans="1:2">
      <c r="A13" s="5" t="s">
        <v>251</v>
      </c>
      <c r="B13" s="4">
        <v>380677</v>
      </c>
    </row>
    <row r="14" spans="1:2">
      <c r="A14" s="5" t="s">
        <v>252</v>
      </c>
      <c r="B14" s="4">
        <v>445441</v>
      </c>
    </row>
    <row r="15" spans="1:2">
      <c r="A15" s="5" t="s">
        <v>253</v>
      </c>
      <c r="B15" s="4">
        <v>416627</v>
      </c>
    </row>
    <row r="16" spans="1:2">
      <c r="A16" s="5" t="s">
        <v>254</v>
      </c>
      <c r="B16" s="4">
        <v>341173</v>
      </c>
    </row>
    <row r="17" spans="1:2">
      <c r="A17" s="3" t="s">
        <v>240</v>
      </c>
      <c r="B17" s="4">
        <v>4639641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4"/>
  <sheetViews>
    <sheetView topLeftCell="C1" workbookViewId="0">
      <selection activeCell="J3" sqref="J3"/>
    </sheetView>
  </sheetViews>
  <sheetFormatPr defaultRowHeight="15"/>
  <cols>
    <col min="1" max="1" width="13.140625" bestFit="1" customWidth="1"/>
    <col min="2" max="2" width="23.140625" bestFit="1" customWidth="1"/>
  </cols>
  <sheetData>
    <row r="3" spans="1:2">
      <c r="A3" s="2" t="s">
        <v>241</v>
      </c>
      <c r="B3" t="s">
        <v>255</v>
      </c>
    </row>
    <row r="4" spans="1:2">
      <c r="A4" s="3" t="s">
        <v>64</v>
      </c>
      <c r="B4" s="4">
        <v>187.09999999999994</v>
      </c>
    </row>
    <row r="5" spans="1:2">
      <c r="A5" s="3" t="s">
        <v>69</v>
      </c>
      <c r="B5" s="4">
        <v>208.8</v>
      </c>
    </row>
    <row r="6" spans="1:2">
      <c r="A6" s="3" t="s">
        <v>40</v>
      </c>
      <c r="B6" s="4">
        <v>205.3</v>
      </c>
    </row>
    <row r="7" spans="1:2">
      <c r="A7" s="3" t="s">
        <v>24</v>
      </c>
      <c r="B7" s="4">
        <v>218.20000000000005</v>
      </c>
    </row>
    <row r="8" spans="1:2">
      <c r="A8" s="3" t="s">
        <v>55</v>
      </c>
      <c r="B8" s="4">
        <v>159</v>
      </c>
    </row>
    <row r="9" spans="1:2">
      <c r="A9" s="3" t="s">
        <v>58</v>
      </c>
      <c r="B9" s="4">
        <v>197.50000000000003</v>
      </c>
    </row>
    <row r="10" spans="1:2">
      <c r="A10" s="3" t="s">
        <v>13</v>
      </c>
      <c r="B10" s="4">
        <v>197.7000000000001</v>
      </c>
    </row>
    <row r="11" spans="1:2">
      <c r="A11" s="3" t="s">
        <v>44</v>
      </c>
      <c r="B11" s="4">
        <v>206.40000000000003</v>
      </c>
    </row>
    <row r="12" spans="1:2">
      <c r="A12" s="3" t="s">
        <v>19</v>
      </c>
      <c r="B12" s="4">
        <v>234.49999999999997</v>
      </c>
    </row>
    <row r="13" spans="1:2">
      <c r="A13" s="3" t="s">
        <v>36</v>
      </c>
      <c r="B13" s="4">
        <v>196.79999999999995</v>
      </c>
    </row>
    <row r="14" spans="1:2">
      <c r="A14" s="3" t="s">
        <v>240</v>
      </c>
      <c r="B14" s="4">
        <v>2011.3000000000002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L15"/>
  <sheetViews>
    <sheetView workbookViewId="0">
      <selection activeCell="N20" sqref="N20"/>
    </sheetView>
  </sheetViews>
  <sheetFormatPr defaultRowHeight="15"/>
  <cols>
    <col min="1" max="1" width="20.42578125" customWidth="1"/>
    <col min="2" max="2" width="16.28515625" customWidth="1"/>
    <col min="3" max="3" width="7.42578125" customWidth="1"/>
    <col min="4" max="4" width="7.7109375" customWidth="1"/>
    <col min="5" max="5" width="9.28515625" customWidth="1"/>
    <col min="6" max="6" width="8.42578125" customWidth="1"/>
    <col min="7" max="7" width="7" customWidth="1"/>
    <col min="8" max="8" width="7.7109375" customWidth="1"/>
    <col min="9" max="9" width="8.85546875" customWidth="1"/>
    <col min="10" max="10" width="7" customWidth="1"/>
    <col min="11" max="11" width="7.140625" customWidth="1"/>
    <col min="12" max="12" width="11.28515625" bestFit="1" customWidth="1"/>
  </cols>
  <sheetData>
    <row r="3" spans="1:12">
      <c r="A3" s="2" t="s">
        <v>242</v>
      </c>
      <c r="B3" s="2" t="s">
        <v>239</v>
      </c>
    </row>
    <row r="4" spans="1:12">
      <c r="A4" s="2" t="s">
        <v>241</v>
      </c>
      <c r="B4" t="s">
        <v>64</v>
      </c>
      <c r="C4" t="s">
        <v>69</v>
      </c>
      <c r="D4" t="s">
        <v>40</v>
      </c>
      <c r="E4" t="s">
        <v>24</v>
      </c>
      <c r="F4" t="s">
        <v>55</v>
      </c>
      <c r="G4" t="s">
        <v>58</v>
      </c>
      <c r="H4" t="s">
        <v>13</v>
      </c>
      <c r="I4" t="s">
        <v>44</v>
      </c>
      <c r="J4" t="s">
        <v>19</v>
      </c>
      <c r="K4" t="s">
        <v>36</v>
      </c>
      <c r="L4" t="s">
        <v>240</v>
      </c>
    </row>
    <row r="5" spans="1:12">
      <c r="A5" s="3" t="s">
        <v>21</v>
      </c>
      <c r="B5" s="4">
        <v>55606</v>
      </c>
      <c r="C5" s="4">
        <v>45540</v>
      </c>
      <c r="D5" s="4">
        <v>45773</v>
      </c>
      <c r="E5" s="4">
        <v>33456</v>
      </c>
      <c r="F5" s="4">
        <v>50193</v>
      </c>
      <c r="G5" s="4">
        <v>69084</v>
      </c>
      <c r="H5" s="4">
        <v>66493</v>
      </c>
      <c r="I5" s="4">
        <v>92127</v>
      </c>
      <c r="J5" s="4">
        <v>35970</v>
      </c>
      <c r="K5" s="4">
        <v>73316</v>
      </c>
      <c r="L5" s="4">
        <v>567558</v>
      </c>
    </row>
    <row r="6" spans="1:12">
      <c r="A6" s="3" t="s">
        <v>57</v>
      </c>
      <c r="B6" s="4">
        <v>51807</v>
      </c>
      <c r="C6" s="4">
        <v>19016</v>
      </c>
      <c r="D6" s="4">
        <v>65147</v>
      </c>
      <c r="E6" s="4">
        <v>55248</v>
      </c>
      <c r="F6" s="4">
        <v>18936</v>
      </c>
      <c r="G6" s="4">
        <v>5960</v>
      </c>
      <c r="H6" s="4">
        <v>47542</v>
      </c>
      <c r="I6" s="4">
        <v>51997</v>
      </c>
      <c r="J6" s="4">
        <v>12003</v>
      </c>
      <c r="K6" s="4">
        <v>28938</v>
      </c>
      <c r="L6" s="4">
        <v>356594</v>
      </c>
    </row>
    <row r="7" spans="1:12">
      <c r="A7" s="3" t="s">
        <v>38</v>
      </c>
      <c r="B7" s="4">
        <v>77466</v>
      </c>
      <c r="C7" s="4">
        <v>37186</v>
      </c>
      <c r="D7" s="4">
        <v>24544</v>
      </c>
      <c r="E7" s="4">
        <v>43361</v>
      </c>
      <c r="F7" s="4">
        <v>32287</v>
      </c>
      <c r="G7" s="4">
        <v>39785</v>
      </c>
      <c r="H7" s="4">
        <v>46242</v>
      </c>
      <c r="I7" s="4">
        <v>39590</v>
      </c>
      <c r="J7" s="4">
        <v>118723</v>
      </c>
      <c r="K7" s="4">
        <v>37157</v>
      </c>
      <c r="L7" s="4">
        <v>496341</v>
      </c>
    </row>
    <row r="8" spans="1:12">
      <c r="A8" s="3" t="s">
        <v>26</v>
      </c>
      <c r="B8" s="4">
        <v>35804</v>
      </c>
      <c r="C8" s="4">
        <v>46202</v>
      </c>
      <c r="D8" s="4">
        <v>80470</v>
      </c>
      <c r="E8" s="4">
        <v>60138</v>
      </c>
      <c r="F8" s="4">
        <v>12816</v>
      </c>
      <c r="G8" s="4">
        <v>32136</v>
      </c>
      <c r="H8" s="4">
        <v>22624</v>
      </c>
      <c r="I8" s="4">
        <v>26195</v>
      </c>
      <c r="J8" s="4">
        <v>45275</v>
      </c>
      <c r="K8" s="4">
        <v>59737</v>
      </c>
      <c r="L8" s="4">
        <v>421397</v>
      </c>
    </row>
    <row r="9" spans="1:12">
      <c r="A9" s="3" t="s">
        <v>42</v>
      </c>
      <c r="B9" s="4">
        <v>31691</v>
      </c>
      <c r="C9" s="4">
        <v>73581</v>
      </c>
      <c r="D9" s="4">
        <v>82038</v>
      </c>
      <c r="E9" s="4">
        <v>47420</v>
      </c>
      <c r="F9" s="4">
        <v>11419</v>
      </c>
      <c r="G9" s="4">
        <v>31144</v>
      </c>
      <c r="H9" s="4">
        <v>58281</v>
      </c>
      <c r="I9" s="4">
        <v>72069</v>
      </c>
      <c r="J9" s="4">
        <v>34716</v>
      </c>
      <c r="K9" s="4">
        <v>41016</v>
      </c>
      <c r="L9" s="4">
        <v>483375</v>
      </c>
    </row>
    <row r="10" spans="1:12">
      <c r="A10" s="3" t="s">
        <v>76</v>
      </c>
      <c r="B10" s="4">
        <v>39330</v>
      </c>
      <c r="C10" s="4">
        <v>31881</v>
      </c>
      <c r="D10" s="4">
        <v>43751</v>
      </c>
      <c r="E10" s="4">
        <v>29243</v>
      </c>
      <c r="F10" s="4">
        <v>97472</v>
      </c>
      <c r="G10" s="4">
        <v>21867</v>
      </c>
      <c r="H10" s="4">
        <v>5916</v>
      </c>
      <c r="I10" s="4">
        <v>36769</v>
      </c>
      <c r="J10" s="4">
        <v>86292</v>
      </c>
      <c r="K10" s="4">
        <v>21317</v>
      </c>
      <c r="L10" s="4">
        <v>413838</v>
      </c>
    </row>
    <row r="11" spans="1:12">
      <c r="A11" s="3" t="s">
        <v>60</v>
      </c>
      <c r="B11" s="4">
        <v>40501</v>
      </c>
      <c r="C11" s="4">
        <v>13574</v>
      </c>
      <c r="D11" s="4">
        <v>33075</v>
      </c>
      <c r="E11" s="4">
        <v>36406</v>
      </c>
      <c r="F11" s="4">
        <v>19641</v>
      </c>
      <c r="G11" s="4">
        <v>100661</v>
      </c>
      <c r="H11" s="4">
        <v>32047</v>
      </c>
      <c r="I11" s="4">
        <v>48080</v>
      </c>
      <c r="J11" s="4">
        <v>52166</v>
      </c>
      <c r="K11" s="4">
        <v>16474</v>
      </c>
      <c r="L11" s="4">
        <v>392625</v>
      </c>
    </row>
    <row r="12" spans="1:12">
      <c r="A12" s="3" t="s">
        <v>32</v>
      </c>
      <c r="B12" s="4">
        <v>52098</v>
      </c>
      <c r="C12" s="4">
        <v>56863</v>
      </c>
      <c r="D12" s="4">
        <v>22551</v>
      </c>
      <c r="E12" s="4">
        <v>74530</v>
      </c>
      <c r="F12" s="4">
        <v>74002</v>
      </c>
      <c r="G12" s="4">
        <v>22240</v>
      </c>
      <c r="H12" s="4">
        <v>65735</v>
      </c>
      <c r="I12" s="4">
        <v>53556</v>
      </c>
      <c r="J12" s="4">
        <v>25880</v>
      </c>
      <c r="K12" s="4">
        <v>81707</v>
      </c>
      <c r="L12" s="4">
        <v>529162</v>
      </c>
    </row>
    <row r="13" spans="1:12">
      <c r="A13" s="3" t="s">
        <v>15</v>
      </c>
      <c r="B13" s="4">
        <v>58552</v>
      </c>
      <c r="C13" s="4">
        <v>53972</v>
      </c>
      <c r="D13" s="4">
        <v>42364</v>
      </c>
      <c r="E13" s="4">
        <v>57906</v>
      </c>
      <c r="F13" s="4">
        <v>36302</v>
      </c>
      <c r="G13" s="4">
        <v>68435</v>
      </c>
      <c r="H13" s="4">
        <v>30538</v>
      </c>
      <c r="I13" s="4">
        <v>19048</v>
      </c>
      <c r="J13" s="4">
        <v>5684</v>
      </c>
      <c r="K13" s="4">
        <v>48925</v>
      </c>
      <c r="L13" s="4">
        <v>421726</v>
      </c>
    </row>
    <row r="14" spans="1:12">
      <c r="A14" s="3" t="s">
        <v>30</v>
      </c>
      <c r="B14" s="4">
        <v>29697</v>
      </c>
      <c r="C14" s="4">
        <v>92808</v>
      </c>
      <c r="D14" s="4">
        <v>54647</v>
      </c>
      <c r="E14" s="4">
        <v>59738</v>
      </c>
      <c r="F14" s="4">
        <v>70448</v>
      </c>
      <c r="G14" s="4">
        <v>93354</v>
      </c>
      <c r="H14" s="4">
        <v>9457</v>
      </c>
      <c r="I14" s="4">
        <v>47158</v>
      </c>
      <c r="J14" s="4">
        <v>71948</v>
      </c>
      <c r="K14" s="4">
        <v>27770</v>
      </c>
      <c r="L14" s="4">
        <v>557025</v>
      </c>
    </row>
    <row r="15" spans="1:12">
      <c r="A15" s="3" t="s">
        <v>240</v>
      </c>
      <c r="B15" s="4">
        <v>472552</v>
      </c>
      <c r="C15" s="4">
        <v>470623</v>
      </c>
      <c r="D15" s="4">
        <v>494360</v>
      </c>
      <c r="E15" s="4">
        <v>497446</v>
      </c>
      <c r="F15" s="4">
        <v>423516</v>
      </c>
      <c r="G15" s="4">
        <v>484666</v>
      </c>
      <c r="H15" s="4">
        <v>384875</v>
      </c>
      <c r="I15" s="4">
        <v>486589</v>
      </c>
      <c r="J15" s="4">
        <v>488657</v>
      </c>
      <c r="K15" s="4">
        <v>436357</v>
      </c>
      <c r="L15" s="4">
        <v>4639641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A4"/>
  <sheetViews>
    <sheetView workbookViewId="0">
      <selection activeCell="A3" sqref="A3:A4"/>
    </sheetView>
  </sheetViews>
  <sheetFormatPr defaultRowHeight="15"/>
  <cols>
    <col min="1" max="1" width="20.42578125" bestFit="1" customWidth="1"/>
  </cols>
  <sheetData>
    <row r="3" spans="1:1">
      <c r="A3" t="s">
        <v>242</v>
      </c>
    </row>
    <row r="4" spans="1:1">
      <c r="A4" s="4">
        <v>4639641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J8" sqref="J8"/>
    </sheetView>
  </sheetViews>
  <sheetFormatPr defaultRowHeight="15"/>
  <cols>
    <col min="1" max="1" width="13.140625" customWidth="1"/>
    <col min="2" max="2" width="20.42578125" customWidth="1"/>
  </cols>
  <sheetData>
    <row r="3" spans="1:2">
      <c r="A3" s="2" t="s">
        <v>241</v>
      </c>
      <c r="B3" t="s">
        <v>242</v>
      </c>
    </row>
    <row r="4" spans="1:2">
      <c r="A4" s="3" t="s">
        <v>40</v>
      </c>
      <c r="B4" s="4">
        <v>494360</v>
      </c>
    </row>
    <row r="5" spans="1:2">
      <c r="A5" s="3" t="s">
        <v>24</v>
      </c>
      <c r="B5" s="4">
        <v>497446</v>
      </c>
    </row>
    <row r="6" spans="1:2">
      <c r="A6" s="3" t="s">
        <v>58</v>
      </c>
      <c r="B6" s="4">
        <v>484666</v>
      </c>
    </row>
    <row r="7" spans="1:2">
      <c r="A7" s="3" t="s">
        <v>44</v>
      </c>
      <c r="B7" s="4">
        <v>486589</v>
      </c>
    </row>
    <row r="8" spans="1:2">
      <c r="A8" s="3" t="s">
        <v>19</v>
      </c>
      <c r="B8" s="4">
        <v>488657</v>
      </c>
    </row>
    <row r="9" spans="1:2">
      <c r="A9" s="3" t="s">
        <v>240</v>
      </c>
      <c r="B9" s="4">
        <v>2451718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selection activeCell="C15" sqref="A1:P501"/>
    </sheetView>
  </sheetViews>
  <sheetFormatPr defaultRowHeight="15"/>
  <cols>
    <col min="2" max="2" width="9.140625" customWidth="1"/>
    <col min="3" max="3" width="17.42578125" customWidth="1"/>
    <col min="4" max="4" width="13.28515625" customWidth="1"/>
    <col min="11" max="11" width="11.140625" customWidth="1"/>
    <col min="13" max="13" width="10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236</v>
      </c>
      <c r="N1" t="s">
        <v>12</v>
      </c>
      <c r="O1" s="1" t="s">
        <v>238</v>
      </c>
      <c r="P1" s="1" t="s">
        <v>237</v>
      </c>
    </row>
    <row r="2" spans="1:16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656</v>
      </c>
      <c r="H2">
        <v>20</v>
      </c>
      <c r="I2">
        <v>13120</v>
      </c>
      <c r="J2">
        <v>3.7</v>
      </c>
      <c r="K2" t="s">
        <v>18</v>
      </c>
      <c r="L2">
        <v>11</v>
      </c>
      <c r="M2" t="str">
        <f>TEXT(DATE(2025, L2, 1), "mmmm")</f>
        <v>November</v>
      </c>
      <c r="N2">
        <v>2025</v>
      </c>
      <c r="O2">
        <f>I2*0.7</f>
        <v>9184</v>
      </c>
      <c r="P2">
        <f>I2-O2</f>
        <v>3936</v>
      </c>
    </row>
    <row r="3" spans="1:16">
      <c r="A3">
        <v>2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>
        <v>1013</v>
      </c>
      <c r="H3">
        <v>9</v>
      </c>
      <c r="I3">
        <v>9117</v>
      </c>
      <c r="J3">
        <v>3.7</v>
      </c>
      <c r="K3" t="s">
        <v>23</v>
      </c>
      <c r="L3">
        <v>2</v>
      </c>
      <c r="M3" t="str">
        <f t="shared" ref="M3:M66" si="0">TEXT(DATE(2025, L3, 1), "mmmm")</f>
        <v>February</v>
      </c>
      <c r="N3">
        <v>2025</v>
      </c>
      <c r="O3">
        <f t="shared" ref="O3:O66" si="1">I3*0.7</f>
        <v>6381.9</v>
      </c>
      <c r="P3">
        <f t="shared" ref="P3:P66" si="2">I3-O3</f>
        <v>2735.1000000000004</v>
      </c>
    </row>
    <row r="4" spans="1:16">
      <c r="A4">
        <v>3</v>
      </c>
      <c r="B4" t="s">
        <v>24</v>
      </c>
      <c r="C4" t="s">
        <v>25</v>
      </c>
      <c r="D4" t="s">
        <v>26</v>
      </c>
      <c r="E4" t="s">
        <v>16</v>
      </c>
      <c r="F4" t="s">
        <v>27</v>
      </c>
      <c r="G4">
        <v>1471</v>
      </c>
      <c r="H4">
        <v>7</v>
      </c>
      <c r="I4">
        <v>10297</v>
      </c>
      <c r="J4">
        <v>3.1</v>
      </c>
      <c r="K4" t="s">
        <v>28</v>
      </c>
      <c r="L4">
        <v>2</v>
      </c>
      <c r="M4" t="str">
        <f t="shared" si="0"/>
        <v>February</v>
      </c>
      <c r="N4">
        <v>2025</v>
      </c>
      <c r="O4">
        <f t="shared" si="1"/>
        <v>7207.9</v>
      </c>
      <c r="P4">
        <f t="shared" si="2"/>
        <v>3089.1000000000004</v>
      </c>
    </row>
    <row r="5" spans="1:16">
      <c r="A5">
        <v>4</v>
      </c>
      <c r="B5" t="s">
        <v>19</v>
      </c>
      <c r="C5" t="s">
        <v>29</v>
      </c>
      <c r="D5" t="s">
        <v>30</v>
      </c>
      <c r="E5" t="s">
        <v>16</v>
      </c>
      <c r="F5" t="s">
        <v>17</v>
      </c>
      <c r="G5">
        <v>1220</v>
      </c>
      <c r="H5">
        <v>19</v>
      </c>
      <c r="I5">
        <v>23180</v>
      </c>
      <c r="J5">
        <v>3.6</v>
      </c>
      <c r="K5" t="s">
        <v>23</v>
      </c>
      <c r="L5">
        <v>6</v>
      </c>
      <c r="M5" t="str">
        <f t="shared" si="0"/>
        <v>June</v>
      </c>
      <c r="N5">
        <v>2025</v>
      </c>
      <c r="O5">
        <f t="shared" si="1"/>
        <v>16225.999999999998</v>
      </c>
      <c r="P5">
        <f t="shared" si="2"/>
        <v>6954.0000000000018</v>
      </c>
    </row>
    <row r="6" spans="1:16">
      <c r="A6">
        <v>5</v>
      </c>
      <c r="B6" t="s">
        <v>19</v>
      </c>
      <c r="C6" t="s">
        <v>31</v>
      </c>
      <c r="D6" t="s">
        <v>32</v>
      </c>
      <c r="E6" t="s">
        <v>33</v>
      </c>
      <c r="F6" t="s">
        <v>34</v>
      </c>
      <c r="G6">
        <v>375</v>
      </c>
      <c r="H6">
        <v>8</v>
      </c>
      <c r="I6">
        <v>3000</v>
      </c>
      <c r="J6">
        <v>4.4000000000000004</v>
      </c>
      <c r="K6" t="s">
        <v>35</v>
      </c>
      <c r="L6">
        <v>1</v>
      </c>
      <c r="M6" t="str">
        <f t="shared" si="0"/>
        <v>January</v>
      </c>
      <c r="N6">
        <v>2025</v>
      </c>
      <c r="O6">
        <f t="shared" si="1"/>
        <v>2100</v>
      </c>
      <c r="P6">
        <f t="shared" si="2"/>
        <v>900</v>
      </c>
    </row>
    <row r="7" spans="1:16">
      <c r="A7">
        <v>6</v>
      </c>
      <c r="B7" t="s">
        <v>36</v>
      </c>
      <c r="C7" t="s">
        <v>37</v>
      </c>
      <c r="D7" t="s">
        <v>38</v>
      </c>
      <c r="E7" t="s">
        <v>33</v>
      </c>
      <c r="F7" t="s">
        <v>22</v>
      </c>
      <c r="G7">
        <v>1129</v>
      </c>
      <c r="H7">
        <v>15</v>
      </c>
      <c r="I7">
        <v>16935</v>
      </c>
      <c r="J7">
        <v>3.8</v>
      </c>
      <c r="K7" t="s">
        <v>18</v>
      </c>
      <c r="L7">
        <v>11</v>
      </c>
      <c r="M7" t="str">
        <f t="shared" si="0"/>
        <v>November</v>
      </c>
      <c r="N7">
        <v>2025</v>
      </c>
      <c r="O7">
        <f t="shared" si="1"/>
        <v>11854.5</v>
      </c>
      <c r="P7">
        <f t="shared" si="2"/>
        <v>5080.5</v>
      </c>
    </row>
    <row r="8" spans="1:16">
      <c r="A8">
        <v>7</v>
      </c>
      <c r="B8" t="s">
        <v>24</v>
      </c>
      <c r="C8" t="s">
        <v>25</v>
      </c>
      <c r="D8" t="s">
        <v>21</v>
      </c>
      <c r="E8" t="s">
        <v>33</v>
      </c>
      <c r="F8" t="s">
        <v>39</v>
      </c>
      <c r="G8">
        <v>1161</v>
      </c>
      <c r="H8">
        <v>20</v>
      </c>
      <c r="I8">
        <v>23220</v>
      </c>
      <c r="J8">
        <v>3.2</v>
      </c>
      <c r="K8" t="s">
        <v>18</v>
      </c>
      <c r="L8">
        <v>8</v>
      </c>
      <c r="M8" t="str">
        <f t="shared" si="0"/>
        <v>August</v>
      </c>
      <c r="N8">
        <v>2025</v>
      </c>
      <c r="O8">
        <f t="shared" si="1"/>
        <v>16253.999999999998</v>
      </c>
      <c r="P8">
        <f t="shared" si="2"/>
        <v>6966.0000000000018</v>
      </c>
    </row>
    <row r="9" spans="1:16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17</v>
      </c>
      <c r="G9">
        <v>417</v>
      </c>
      <c r="H9">
        <v>12</v>
      </c>
      <c r="I9">
        <v>5004</v>
      </c>
      <c r="J9">
        <v>4.2</v>
      </c>
      <c r="K9" t="s">
        <v>28</v>
      </c>
      <c r="L9">
        <v>2</v>
      </c>
      <c r="M9" t="str">
        <f t="shared" si="0"/>
        <v>February</v>
      </c>
      <c r="N9">
        <v>2025</v>
      </c>
      <c r="O9">
        <f t="shared" si="1"/>
        <v>3502.7999999999997</v>
      </c>
      <c r="P9">
        <f t="shared" si="2"/>
        <v>1501.2000000000003</v>
      </c>
    </row>
    <row r="10" spans="1:16">
      <c r="A10">
        <v>9</v>
      </c>
      <c r="B10" t="s">
        <v>44</v>
      </c>
      <c r="C10" t="s">
        <v>45</v>
      </c>
      <c r="D10" t="s">
        <v>26</v>
      </c>
      <c r="E10" t="s">
        <v>33</v>
      </c>
      <c r="F10" t="s">
        <v>17</v>
      </c>
      <c r="G10">
        <v>495</v>
      </c>
      <c r="H10">
        <v>4</v>
      </c>
      <c r="I10">
        <v>1980</v>
      </c>
      <c r="J10">
        <v>3.5</v>
      </c>
      <c r="K10" t="s">
        <v>23</v>
      </c>
      <c r="L10">
        <v>3</v>
      </c>
      <c r="M10" t="str">
        <f t="shared" si="0"/>
        <v>March</v>
      </c>
      <c r="N10">
        <v>2025</v>
      </c>
      <c r="O10">
        <f t="shared" si="1"/>
        <v>1386</v>
      </c>
      <c r="P10">
        <f t="shared" si="2"/>
        <v>594</v>
      </c>
    </row>
    <row r="11" spans="1:16">
      <c r="A11">
        <v>10</v>
      </c>
      <c r="B11" t="s">
        <v>40</v>
      </c>
      <c r="C11" t="s">
        <v>46</v>
      </c>
      <c r="D11" t="s">
        <v>15</v>
      </c>
      <c r="E11" t="s">
        <v>16</v>
      </c>
      <c r="F11" t="s">
        <v>17</v>
      </c>
      <c r="G11">
        <v>921</v>
      </c>
      <c r="H11">
        <v>2</v>
      </c>
      <c r="I11">
        <v>1842</v>
      </c>
      <c r="J11">
        <v>4.8</v>
      </c>
      <c r="K11" t="s">
        <v>47</v>
      </c>
      <c r="L11">
        <v>3</v>
      </c>
      <c r="M11" t="str">
        <f t="shared" si="0"/>
        <v>March</v>
      </c>
      <c r="N11">
        <v>2025</v>
      </c>
      <c r="O11">
        <f t="shared" si="1"/>
        <v>1289.3999999999999</v>
      </c>
      <c r="P11">
        <f t="shared" si="2"/>
        <v>552.60000000000014</v>
      </c>
    </row>
    <row r="12" spans="1:16">
      <c r="A12">
        <v>11</v>
      </c>
      <c r="B12" t="s">
        <v>13</v>
      </c>
      <c r="C12" t="s">
        <v>48</v>
      </c>
      <c r="D12" t="s">
        <v>38</v>
      </c>
      <c r="E12" t="s">
        <v>16</v>
      </c>
      <c r="F12" t="s">
        <v>39</v>
      </c>
      <c r="G12">
        <v>930</v>
      </c>
      <c r="H12">
        <v>3</v>
      </c>
      <c r="I12">
        <v>2790</v>
      </c>
      <c r="J12">
        <v>3.3</v>
      </c>
      <c r="K12" t="s">
        <v>47</v>
      </c>
      <c r="L12">
        <v>9</v>
      </c>
      <c r="M12" t="str">
        <f t="shared" si="0"/>
        <v>September</v>
      </c>
      <c r="N12">
        <v>2025</v>
      </c>
      <c r="O12">
        <f t="shared" si="1"/>
        <v>1952.9999999999998</v>
      </c>
      <c r="P12">
        <f t="shared" si="2"/>
        <v>837.00000000000023</v>
      </c>
    </row>
    <row r="13" spans="1:16">
      <c r="A13">
        <v>12</v>
      </c>
      <c r="B13" t="s">
        <v>36</v>
      </c>
      <c r="C13" t="s">
        <v>49</v>
      </c>
      <c r="D13" t="s">
        <v>32</v>
      </c>
      <c r="E13" t="s">
        <v>50</v>
      </c>
      <c r="F13" t="s">
        <v>34</v>
      </c>
      <c r="G13">
        <v>953</v>
      </c>
      <c r="H13">
        <v>14</v>
      </c>
      <c r="I13">
        <v>13342</v>
      </c>
      <c r="J13">
        <v>3.1</v>
      </c>
      <c r="K13" t="s">
        <v>47</v>
      </c>
      <c r="L13">
        <v>10</v>
      </c>
      <c r="M13" t="str">
        <f t="shared" si="0"/>
        <v>October</v>
      </c>
      <c r="N13">
        <v>2025</v>
      </c>
      <c r="O13">
        <f t="shared" si="1"/>
        <v>9339.4</v>
      </c>
      <c r="P13">
        <f t="shared" si="2"/>
        <v>4002.6000000000004</v>
      </c>
    </row>
    <row r="14" spans="1:16">
      <c r="A14">
        <v>13</v>
      </c>
      <c r="B14" t="s">
        <v>44</v>
      </c>
      <c r="C14" t="s">
        <v>51</v>
      </c>
      <c r="D14" t="s">
        <v>38</v>
      </c>
      <c r="E14" t="s">
        <v>50</v>
      </c>
      <c r="F14" t="s">
        <v>34</v>
      </c>
      <c r="G14">
        <v>541</v>
      </c>
      <c r="H14">
        <v>15</v>
      </c>
      <c r="I14">
        <v>8115</v>
      </c>
      <c r="J14">
        <v>3.7</v>
      </c>
      <c r="K14" t="s">
        <v>28</v>
      </c>
      <c r="L14">
        <v>12</v>
      </c>
      <c r="M14" t="str">
        <f t="shared" si="0"/>
        <v>December</v>
      </c>
      <c r="N14">
        <v>2025</v>
      </c>
      <c r="O14">
        <f t="shared" si="1"/>
        <v>5680.5</v>
      </c>
      <c r="P14">
        <f t="shared" si="2"/>
        <v>2434.5</v>
      </c>
    </row>
    <row r="15" spans="1:16">
      <c r="A15">
        <v>14</v>
      </c>
      <c r="B15" t="s">
        <v>13</v>
      </c>
      <c r="C15" t="s">
        <v>52</v>
      </c>
      <c r="D15" t="s">
        <v>32</v>
      </c>
      <c r="E15" t="s">
        <v>16</v>
      </c>
      <c r="F15" t="s">
        <v>27</v>
      </c>
      <c r="G15">
        <v>476</v>
      </c>
      <c r="H15">
        <v>20</v>
      </c>
      <c r="I15">
        <v>9520</v>
      </c>
      <c r="J15">
        <v>4.0999999999999996</v>
      </c>
      <c r="K15" t="s">
        <v>23</v>
      </c>
      <c r="L15">
        <v>9</v>
      </c>
      <c r="M15" t="str">
        <f t="shared" si="0"/>
        <v>September</v>
      </c>
      <c r="N15">
        <v>2025</v>
      </c>
      <c r="O15">
        <f t="shared" si="1"/>
        <v>6664</v>
      </c>
      <c r="P15">
        <f t="shared" si="2"/>
        <v>2856</v>
      </c>
    </row>
    <row r="16" spans="1:16">
      <c r="A16">
        <v>15</v>
      </c>
      <c r="B16" t="s">
        <v>36</v>
      </c>
      <c r="C16" t="s">
        <v>37</v>
      </c>
      <c r="D16" t="s">
        <v>21</v>
      </c>
      <c r="E16" t="s">
        <v>43</v>
      </c>
      <c r="F16" t="s">
        <v>22</v>
      </c>
      <c r="G16">
        <v>1084</v>
      </c>
      <c r="H16">
        <v>15</v>
      </c>
      <c r="I16">
        <v>16260</v>
      </c>
      <c r="J16">
        <v>3.9</v>
      </c>
      <c r="K16" t="s">
        <v>47</v>
      </c>
      <c r="L16">
        <v>6</v>
      </c>
      <c r="M16" t="str">
        <f t="shared" si="0"/>
        <v>June</v>
      </c>
      <c r="N16">
        <v>2025</v>
      </c>
      <c r="O16">
        <f t="shared" si="1"/>
        <v>11382</v>
      </c>
      <c r="P16">
        <f t="shared" si="2"/>
        <v>4878</v>
      </c>
    </row>
    <row r="17" spans="1:16">
      <c r="A17">
        <v>16</v>
      </c>
      <c r="B17" t="s">
        <v>44</v>
      </c>
      <c r="C17" t="s">
        <v>53</v>
      </c>
      <c r="D17" t="s">
        <v>21</v>
      </c>
      <c r="E17" t="s">
        <v>43</v>
      </c>
      <c r="F17" t="s">
        <v>22</v>
      </c>
      <c r="G17">
        <v>985</v>
      </c>
      <c r="H17">
        <v>18</v>
      </c>
      <c r="I17">
        <v>17730</v>
      </c>
      <c r="J17">
        <v>3.6</v>
      </c>
      <c r="K17" t="s">
        <v>28</v>
      </c>
      <c r="L17">
        <v>7</v>
      </c>
      <c r="M17" t="str">
        <f t="shared" si="0"/>
        <v>July</v>
      </c>
      <c r="N17">
        <v>2025</v>
      </c>
      <c r="O17">
        <f t="shared" si="1"/>
        <v>12411</v>
      </c>
      <c r="P17">
        <f t="shared" si="2"/>
        <v>5319</v>
      </c>
    </row>
    <row r="18" spans="1:16">
      <c r="A18">
        <v>17</v>
      </c>
      <c r="B18" t="s">
        <v>36</v>
      </c>
      <c r="C18" t="s">
        <v>54</v>
      </c>
      <c r="D18" t="s">
        <v>21</v>
      </c>
      <c r="E18" t="s">
        <v>50</v>
      </c>
      <c r="F18" t="s">
        <v>39</v>
      </c>
      <c r="G18">
        <v>695</v>
      </c>
      <c r="H18">
        <v>4</v>
      </c>
      <c r="I18">
        <v>2780</v>
      </c>
      <c r="J18">
        <v>4.8</v>
      </c>
      <c r="K18" t="s">
        <v>35</v>
      </c>
      <c r="L18">
        <v>5</v>
      </c>
      <c r="M18" t="str">
        <f t="shared" si="0"/>
        <v>May</v>
      </c>
      <c r="N18">
        <v>2025</v>
      </c>
      <c r="O18">
        <f t="shared" si="1"/>
        <v>1945.9999999999998</v>
      </c>
      <c r="P18">
        <f t="shared" si="2"/>
        <v>834.00000000000023</v>
      </c>
    </row>
    <row r="19" spans="1:16">
      <c r="A19">
        <v>18</v>
      </c>
      <c r="B19" t="s">
        <v>55</v>
      </c>
      <c r="C19" t="s">
        <v>56</v>
      </c>
      <c r="D19" t="s">
        <v>57</v>
      </c>
      <c r="E19" t="s">
        <v>33</v>
      </c>
      <c r="F19" t="s">
        <v>17</v>
      </c>
      <c r="G19">
        <v>1072</v>
      </c>
      <c r="H19">
        <v>5</v>
      </c>
      <c r="I19">
        <v>5360</v>
      </c>
      <c r="J19">
        <v>4.5999999999999996</v>
      </c>
      <c r="K19" t="s">
        <v>18</v>
      </c>
      <c r="L19">
        <v>12</v>
      </c>
      <c r="M19" t="str">
        <f t="shared" si="0"/>
        <v>December</v>
      </c>
      <c r="N19">
        <v>2025</v>
      </c>
      <c r="O19">
        <f t="shared" si="1"/>
        <v>3751.9999999999995</v>
      </c>
      <c r="P19">
        <f t="shared" si="2"/>
        <v>1608.0000000000005</v>
      </c>
    </row>
    <row r="20" spans="1:16">
      <c r="A20">
        <v>19</v>
      </c>
      <c r="B20" t="s">
        <v>58</v>
      </c>
      <c r="C20" t="s">
        <v>59</v>
      </c>
      <c r="D20" t="s">
        <v>60</v>
      </c>
      <c r="E20" t="s">
        <v>16</v>
      </c>
      <c r="F20" t="s">
        <v>27</v>
      </c>
      <c r="G20">
        <v>1156</v>
      </c>
      <c r="H20">
        <v>15</v>
      </c>
      <c r="I20">
        <v>17340</v>
      </c>
      <c r="J20">
        <v>3.1</v>
      </c>
      <c r="K20" t="s">
        <v>35</v>
      </c>
      <c r="L20">
        <v>7</v>
      </c>
      <c r="M20" t="str">
        <f t="shared" si="0"/>
        <v>July</v>
      </c>
      <c r="N20">
        <v>2025</v>
      </c>
      <c r="O20">
        <f t="shared" si="1"/>
        <v>12138</v>
      </c>
      <c r="P20">
        <f t="shared" si="2"/>
        <v>5202</v>
      </c>
    </row>
    <row r="21" spans="1:16">
      <c r="A21">
        <v>20</v>
      </c>
      <c r="B21" t="s">
        <v>40</v>
      </c>
      <c r="C21" t="s">
        <v>61</v>
      </c>
      <c r="D21" t="s">
        <v>38</v>
      </c>
      <c r="E21" t="s">
        <v>50</v>
      </c>
      <c r="F21" t="s">
        <v>22</v>
      </c>
      <c r="G21">
        <v>1474</v>
      </c>
      <c r="H21">
        <v>10</v>
      </c>
      <c r="I21">
        <v>14740</v>
      </c>
      <c r="J21">
        <v>4.4000000000000004</v>
      </c>
      <c r="K21" t="s">
        <v>47</v>
      </c>
      <c r="L21">
        <v>12</v>
      </c>
      <c r="M21" t="str">
        <f t="shared" si="0"/>
        <v>December</v>
      </c>
      <c r="N21">
        <v>2025</v>
      </c>
      <c r="O21">
        <f t="shared" si="1"/>
        <v>10318</v>
      </c>
      <c r="P21">
        <f t="shared" si="2"/>
        <v>4422</v>
      </c>
    </row>
    <row r="22" spans="1:16">
      <c r="A22">
        <v>21</v>
      </c>
      <c r="B22" t="s">
        <v>58</v>
      </c>
      <c r="C22" t="s">
        <v>62</v>
      </c>
      <c r="D22" t="s">
        <v>42</v>
      </c>
      <c r="E22" t="s">
        <v>16</v>
      </c>
      <c r="F22" t="s">
        <v>63</v>
      </c>
      <c r="G22">
        <v>460</v>
      </c>
      <c r="H22">
        <v>14</v>
      </c>
      <c r="I22">
        <v>6440</v>
      </c>
      <c r="J22">
        <v>4.8</v>
      </c>
      <c r="K22" t="s">
        <v>18</v>
      </c>
      <c r="L22">
        <v>2</v>
      </c>
      <c r="M22" t="str">
        <f t="shared" si="0"/>
        <v>February</v>
      </c>
      <c r="N22">
        <v>2025</v>
      </c>
      <c r="O22">
        <f t="shared" si="1"/>
        <v>4508</v>
      </c>
      <c r="P22">
        <f t="shared" si="2"/>
        <v>1932</v>
      </c>
    </row>
    <row r="23" spans="1:16">
      <c r="A23">
        <v>22</v>
      </c>
      <c r="B23" t="s">
        <v>64</v>
      </c>
      <c r="C23" t="s">
        <v>65</v>
      </c>
      <c r="D23" t="s">
        <v>30</v>
      </c>
      <c r="E23" t="s">
        <v>50</v>
      </c>
      <c r="F23" t="s">
        <v>27</v>
      </c>
      <c r="G23">
        <v>641</v>
      </c>
      <c r="H23">
        <v>8</v>
      </c>
      <c r="I23">
        <v>5128</v>
      </c>
      <c r="J23">
        <v>3.1</v>
      </c>
      <c r="K23" t="s">
        <v>47</v>
      </c>
      <c r="L23">
        <v>1</v>
      </c>
      <c r="M23" t="str">
        <f t="shared" si="0"/>
        <v>January</v>
      </c>
      <c r="N23">
        <v>2025</v>
      </c>
      <c r="O23">
        <f t="shared" si="1"/>
        <v>3589.6</v>
      </c>
      <c r="P23">
        <f t="shared" si="2"/>
        <v>1538.4</v>
      </c>
    </row>
    <row r="24" spans="1:16">
      <c r="A24">
        <v>23</v>
      </c>
      <c r="B24" t="s">
        <v>64</v>
      </c>
      <c r="C24" t="s">
        <v>66</v>
      </c>
      <c r="D24" t="s">
        <v>42</v>
      </c>
      <c r="E24" t="s">
        <v>16</v>
      </c>
      <c r="F24" t="s">
        <v>63</v>
      </c>
      <c r="G24">
        <v>747</v>
      </c>
      <c r="H24">
        <v>14</v>
      </c>
      <c r="I24">
        <v>10458</v>
      </c>
      <c r="J24">
        <v>3.6</v>
      </c>
      <c r="K24" t="s">
        <v>47</v>
      </c>
      <c r="L24">
        <v>9</v>
      </c>
      <c r="M24" t="str">
        <f t="shared" si="0"/>
        <v>September</v>
      </c>
      <c r="N24">
        <v>2025</v>
      </c>
      <c r="O24">
        <f t="shared" si="1"/>
        <v>7320.5999999999995</v>
      </c>
      <c r="P24">
        <f t="shared" si="2"/>
        <v>3137.4000000000005</v>
      </c>
    </row>
    <row r="25" spans="1:16">
      <c r="A25">
        <v>24</v>
      </c>
      <c r="B25" t="s">
        <v>55</v>
      </c>
      <c r="C25" t="s">
        <v>67</v>
      </c>
      <c r="D25" t="s">
        <v>38</v>
      </c>
      <c r="E25" t="s">
        <v>16</v>
      </c>
      <c r="F25" t="s">
        <v>34</v>
      </c>
      <c r="G25">
        <v>601</v>
      </c>
      <c r="H25">
        <v>13</v>
      </c>
      <c r="I25">
        <v>7813</v>
      </c>
      <c r="J25">
        <v>4.5</v>
      </c>
      <c r="K25" t="s">
        <v>23</v>
      </c>
      <c r="L25">
        <v>3</v>
      </c>
      <c r="M25" t="str">
        <f t="shared" si="0"/>
        <v>March</v>
      </c>
      <c r="N25">
        <v>2025</v>
      </c>
      <c r="O25">
        <f t="shared" si="1"/>
        <v>5469.0999999999995</v>
      </c>
      <c r="P25">
        <f t="shared" si="2"/>
        <v>2343.9000000000005</v>
      </c>
    </row>
    <row r="26" spans="1:16">
      <c r="A26">
        <v>25</v>
      </c>
      <c r="B26" t="s">
        <v>55</v>
      </c>
      <c r="C26" t="s">
        <v>68</v>
      </c>
      <c r="D26" t="s">
        <v>57</v>
      </c>
      <c r="E26" t="s">
        <v>50</v>
      </c>
      <c r="F26" t="s">
        <v>34</v>
      </c>
      <c r="G26">
        <v>726</v>
      </c>
      <c r="H26">
        <v>6</v>
      </c>
      <c r="I26">
        <v>4356</v>
      </c>
      <c r="J26">
        <v>4.4000000000000004</v>
      </c>
      <c r="K26" t="s">
        <v>35</v>
      </c>
      <c r="L26">
        <v>12</v>
      </c>
      <c r="M26" t="str">
        <f t="shared" si="0"/>
        <v>December</v>
      </c>
      <c r="N26">
        <v>2025</v>
      </c>
      <c r="O26">
        <f t="shared" si="1"/>
        <v>3049.2</v>
      </c>
      <c r="P26">
        <f t="shared" si="2"/>
        <v>1306.8000000000002</v>
      </c>
    </row>
    <row r="27" spans="1:16">
      <c r="A27">
        <v>26</v>
      </c>
      <c r="B27" t="s">
        <v>69</v>
      </c>
      <c r="C27" t="s">
        <v>70</v>
      </c>
      <c r="D27" t="s">
        <v>38</v>
      </c>
      <c r="E27" t="s">
        <v>50</v>
      </c>
      <c r="F27" t="s">
        <v>27</v>
      </c>
      <c r="G27">
        <v>1032</v>
      </c>
      <c r="H27">
        <v>10</v>
      </c>
      <c r="I27">
        <v>10320</v>
      </c>
      <c r="J27">
        <v>3.7</v>
      </c>
      <c r="K27" t="s">
        <v>28</v>
      </c>
      <c r="L27">
        <v>8</v>
      </c>
      <c r="M27" t="str">
        <f t="shared" si="0"/>
        <v>August</v>
      </c>
      <c r="N27">
        <v>2025</v>
      </c>
      <c r="O27">
        <f t="shared" si="1"/>
        <v>7223.9999999999991</v>
      </c>
      <c r="P27">
        <f t="shared" si="2"/>
        <v>3096.0000000000009</v>
      </c>
    </row>
    <row r="28" spans="1:16">
      <c r="A28">
        <v>27</v>
      </c>
      <c r="B28" t="s">
        <v>69</v>
      </c>
      <c r="C28" t="s">
        <v>71</v>
      </c>
      <c r="D28" t="s">
        <v>57</v>
      </c>
      <c r="E28" t="s">
        <v>43</v>
      </c>
      <c r="F28" t="s">
        <v>27</v>
      </c>
      <c r="G28">
        <v>610</v>
      </c>
      <c r="H28">
        <v>2</v>
      </c>
      <c r="I28">
        <v>1220</v>
      </c>
      <c r="J28">
        <v>3.4</v>
      </c>
      <c r="K28" t="s">
        <v>18</v>
      </c>
      <c r="L28">
        <v>3</v>
      </c>
      <c r="M28" t="str">
        <f t="shared" si="0"/>
        <v>March</v>
      </c>
      <c r="N28">
        <v>2025</v>
      </c>
      <c r="O28">
        <f t="shared" si="1"/>
        <v>854</v>
      </c>
      <c r="P28">
        <f t="shared" si="2"/>
        <v>366</v>
      </c>
    </row>
    <row r="29" spans="1:16">
      <c r="A29">
        <v>28</v>
      </c>
      <c r="B29" t="s">
        <v>40</v>
      </c>
      <c r="C29" t="s">
        <v>41</v>
      </c>
      <c r="D29" t="s">
        <v>15</v>
      </c>
      <c r="E29" t="s">
        <v>43</v>
      </c>
      <c r="F29" t="s">
        <v>39</v>
      </c>
      <c r="G29">
        <v>1395</v>
      </c>
      <c r="H29">
        <v>6</v>
      </c>
      <c r="I29">
        <v>8370</v>
      </c>
      <c r="J29">
        <v>4.5</v>
      </c>
      <c r="K29" t="s">
        <v>28</v>
      </c>
      <c r="L29">
        <v>12</v>
      </c>
      <c r="M29" t="str">
        <f t="shared" si="0"/>
        <v>December</v>
      </c>
      <c r="N29">
        <v>2025</v>
      </c>
      <c r="O29">
        <f t="shared" si="1"/>
        <v>5859</v>
      </c>
      <c r="P29">
        <f t="shared" si="2"/>
        <v>2511</v>
      </c>
    </row>
    <row r="30" spans="1:16">
      <c r="A30">
        <v>29</v>
      </c>
      <c r="B30" t="s">
        <v>13</v>
      </c>
      <c r="C30" t="s">
        <v>14</v>
      </c>
      <c r="D30" t="s">
        <v>42</v>
      </c>
      <c r="E30" t="s">
        <v>43</v>
      </c>
      <c r="F30" t="s">
        <v>63</v>
      </c>
      <c r="G30">
        <v>1270</v>
      </c>
      <c r="H30">
        <v>15</v>
      </c>
      <c r="I30">
        <v>19050</v>
      </c>
      <c r="J30">
        <v>3.1</v>
      </c>
      <c r="K30" t="s">
        <v>35</v>
      </c>
      <c r="L30">
        <v>11</v>
      </c>
      <c r="M30" t="str">
        <f t="shared" si="0"/>
        <v>November</v>
      </c>
      <c r="N30">
        <v>2025</v>
      </c>
      <c r="O30">
        <f t="shared" si="1"/>
        <v>13335</v>
      </c>
      <c r="P30">
        <f t="shared" si="2"/>
        <v>5715</v>
      </c>
    </row>
    <row r="31" spans="1:16">
      <c r="A31">
        <v>30</v>
      </c>
      <c r="B31" t="s">
        <v>13</v>
      </c>
      <c r="C31" t="s">
        <v>14</v>
      </c>
      <c r="D31" t="s">
        <v>57</v>
      </c>
      <c r="E31" t="s">
        <v>33</v>
      </c>
      <c r="F31" t="s">
        <v>34</v>
      </c>
      <c r="G31">
        <v>493</v>
      </c>
      <c r="H31">
        <v>4</v>
      </c>
      <c r="I31">
        <v>1972</v>
      </c>
      <c r="J31">
        <v>4.4000000000000004</v>
      </c>
      <c r="K31" t="s">
        <v>18</v>
      </c>
      <c r="L31">
        <v>1</v>
      </c>
      <c r="M31" t="str">
        <f t="shared" si="0"/>
        <v>January</v>
      </c>
      <c r="N31">
        <v>2025</v>
      </c>
      <c r="O31">
        <f t="shared" si="1"/>
        <v>1380.3999999999999</v>
      </c>
      <c r="P31">
        <f t="shared" si="2"/>
        <v>591.60000000000014</v>
      </c>
    </row>
    <row r="32" spans="1:16">
      <c r="A32">
        <v>31</v>
      </c>
      <c r="B32" t="s">
        <v>19</v>
      </c>
      <c r="C32" t="s">
        <v>72</v>
      </c>
      <c r="D32" t="s">
        <v>38</v>
      </c>
      <c r="E32" t="s">
        <v>43</v>
      </c>
      <c r="F32" t="s">
        <v>34</v>
      </c>
      <c r="G32">
        <v>1176</v>
      </c>
      <c r="H32">
        <v>15</v>
      </c>
      <c r="I32">
        <v>17640</v>
      </c>
      <c r="J32">
        <v>4.0999999999999996</v>
      </c>
      <c r="K32" t="s">
        <v>18</v>
      </c>
      <c r="L32">
        <v>2</v>
      </c>
      <c r="M32" t="str">
        <f t="shared" si="0"/>
        <v>February</v>
      </c>
      <c r="N32">
        <v>2025</v>
      </c>
      <c r="O32">
        <f t="shared" si="1"/>
        <v>12348</v>
      </c>
      <c r="P32">
        <f t="shared" si="2"/>
        <v>5292</v>
      </c>
    </row>
    <row r="33" spans="1:16">
      <c r="A33">
        <v>32</v>
      </c>
      <c r="B33" t="s">
        <v>69</v>
      </c>
      <c r="C33" t="s">
        <v>73</v>
      </c>
      <c r="D33" t="s">
        <v>38</v>
      </c>
      <c r="E33" t="s">
        <v>43</v>
      </c>
      <c r="F33" t="s">
        <v>34</v>
      </c>
      <c r="G33">
        <v>512</v>
      </c>
      <c r="H33">
        <v>3</v>
      </c>
      <c r="I33">
        <v>1536</v>
      </c>
      <c r="J33">
        <v>3.6</v>
      </c>
      <c r="K33" t="s">
        <v>28</v>
      </c>
      <c r="L33">
        <v>11</v>
      </c>
      <c r="M33" t="str">
        <f t="shared" si="0"/>
        <v>November</v>
      </c>
      <c r="N33">
        <v>2025</v>
      </c>
      <c r="O33">
        <f t="shared" si="1"/>
        <v>1075.1999999999998</v>
      </c>
      <c r="P33">
        <f t="shared" si="2"/>
        <v>460.80000000000018</v>
      </c>
    </row>
    <row r="34" spans="1:16">
      <c r="A34">
        <v>33</v>
      </c>
      <c r="B34" t="s">
        <v>40</v>
      </c>
      <c r="C34" t="s">
        <v>74</v>
      </c>
      <c r="D34" t="s">
        <v>38</v>
      </c>
      <c r="E34" t="s">
        <v>43</v>
      </c>
      <c r="F34" t="s">
        <v>27</v>
      </c>
      <c r="G34">
        <v>817</v>
      </c>
      <c r="H34">
        <v>12</v>
      </c>
      <c r="I34">
        <v>9804</v>
      </c>
      <c r="J34">
        <v>4.5999999999999996</v>
      </c>
      <c r="K34" t="s">
        <v>23</v>
      </c>
      <c r="L34">
        <v>3</v>
      </c>
      <c r="M34" t="str">
        <f t="shared" si="0"/>
        <v>March</v>
      </c>
      <c r="N34">
        <v>2025</v>
      </c>
      <c r="O34">
        <f t="shared" si="1"/>
        <v>6862.7999999999993</v>
      </c>
      <c r="P34">
        <f t="shared" si="2"/>
        <v>2941.2000000000007</v>
      </c>
    </row>
    <row r="35" spans="1:16">
      <c r="A35">
        <v>34</v>
      </c>
      <c r="B35" t="s">
        <v>13</v>
      </c>
      <c r="C35" t="s">
        <v>75</v>
      </c>
      <c r="D35" t="s">
        <v>76</v>
      </c>
      <c r="E35" t="s">
        <v>43</v>
      </c>
      <c r="F35" t="s">
        <v>17</v>
      </c>
      <c r="G35">
        <v>493</v>
      </c>
      <c r="H35">
        <v>12</v>
      </c>
      <c r="I35">
        <v>5916</v>
      </c>
      <c r="J35">
        <v>3.2</v>
      </c>
      <c r="K35" t="s">
        <v>23</v>
      </c>
      <c r="L35">
        <v>11</v>
      </c>
      <c r="M35" t="str">
        <f t="shared" si="0"/>
        <v>November</v>
      </c>
      <c r="N35">
        <v>2025</v>
      </c>
      <c r="O35">
        <f t="shared" si="1"/>
        <v>4141.2</v>
      </c>
      <c r="P35">
        <f t="shared" si="2"/>
        <v>1774.8000000000002</v>
      </c>
    </row>
    <row r="36" spans="1:16">
      <c r="A36">
        <v>35</v>
      </c>
      <c r="B36" t="s">
        <v>24</v>
      </c>
      <c r="C36" t="s">
        <v>77</v>
      </c>
      <c r="D36" t="s">
        <v>38</v>
      </c>
      <c r="E36" t="s">
        <v>50</v>
      </c>
      <c r="F36" t="s">
        <v>39</v>
      </c>
      <c r="G36">
        <v>916</v>
      </c>
      <c r="H36">
        <v>1</v>
      </c>
      <c r="I36">
        <v>916</v>
      </c>
      <c r="J36">
        <v>3.1</v>
      </c>
      <c r="K36" t="s">
        <v>23</v>
      </c>
      <c r="L36">
        <v>8</v>
      </c>
      <c r="M36" t="str">
        <f t="shared" si="0"/>
        <v>August</v>
      </c>
      <c r="N36">
        <v>2025</v>
      </c>
      <c r="O36">
        <f t="shared" si="1"/>
        <v>641.19999999999993</v>
      </c>
      <c r="P36">
        <f t="shared" si="2"/>
        <v>274.80000000000007</v>
      </c>
    </row>
    <row r="37" spans="1:16">
      <c r="A37">
        <v>36</v>
      </c>
      <c r="B37" t="s">
        <v>64</v>
      </c>
      <c r="C37" t="s">
        <v>65</v>
      </c>
      <c r="D37" t="s">
        <v>76</v>
      </c>
      <c r="E37" t="s">
        <v>33</v>
      </c>
      <c r="F37" t="s">
        <v>39</v>
      </c>
      <c r="G37">
        <v>1218</v>
      </c>
      <c r="H37">
        <v>4</v>
      </c>
      <c r="I37">
        <v>4872</v>
      </c>
      <c r="J37">
        <v>4.8</v>
      </c>
      <c r="K37" t="s">
        <v>18</v>
      </c>
      <c r="L37">
        <v>9</v>
      </c>
      <c r="M37" t="str">
        <f t="shared" si="0"/>
        <v>September</v>
      </c>
      <c r="N37">
        <v>2025</v>
      </c>
      <c r="O37">
        <f t="shared" si="1"/>
        <v>3410.3999999999996</v>
      </c>
      <c r="P37">
        <f t="shared" si="2"/>
        <v>1461.6000000000004</v>
      </c>
    </row>
    <row r="38" spans="1:16">
      <c r="A38">
        <v>37</v>
      </c>
      <c r="B38" t="s">
        <v>19</v>
      </c>
      <c r="C38" t="s">
        <v>78</v>
      </c>
      <c r="D38" t="s">
        <v>60</v>
      </c>
      <c r="E38" t="s">
        <v>33</v>
      </c>
      <c r="F38" t="s">
        <v>22</v>
      </c>
      <c r="G38">
        <v>1038</v>
      </c>
      <c r="H38">
        <v>1</v>
      </c>
      <c r="I38">
        <v>1038</v>
      </c>
      <c r="J38">
        <v>3.7</v>
      </c>
      <c r="K38" t="s">
        <v>35</v>
      </c>
      <c r="L38">
        <v>6</v>
      </c>
      <c r="M38" t="str">
        <f t="shared" si="0"/>
        <v>June</v>
      </c>
      <c r="N38">
        <v>2025</v>
      </c>
      <c r="O38">
        <f t="shared" si="1"/>
        <v>726.59999999999991</v>
      </c>
      <c r="P38">
        <f t="shared" si="2"/>
        <v>311.40000000000009</v>
      </c>
    </row>
    <row r="39" spans="1:16">
      <c r="A39">
        <v>38</v>
      </c>
      <c r="B39" t="s">
        <v>44</v>
      </c>
      <c r="C39" t="s">
        <v>79</v>
      </c>
      <c r="D39" t="s">
        <v>21</v>
      </c>
      <c r="E39" t="s">
        <v>33</v>
      </c>
      <c r="F39" t="s">
        <v>63</v>
      </c>
      <c r="G39">
        <v>859</v>
      </c>
      <c r="H39">
        <v>20</v>
      </c>
      <c r="I39">
        <v>17180</v>
      </c>
      <c r="J39">
        <v>4.5999999999999996</v>
      </c>
      <c r="K39" t="s">
        <v>47</v>
      </c>
      <c r="L39">
        <v>3</v>
      </c>
      <c r="M39" t="str">
        <f t="shared" si="0"/>
        <v>March</v>
      </c>
      <c r="N39">
        <v>2025</v>
      </c>
      <c r="O39">
        <f t="shared" si="1"/>
        <v>12026</v>
      </c>
      <c r="P39">
        <f t="shared" si="2"/>
        <v>5154</v>
      </c>
    </row>
    <row r="40" spans="1:16">
      <c r="A40">
        <v>39</v>
      </c>
      <c r="B40" t="s">
        <v>13</v>
      </c>
      <c r="C40" t="s">
        <v>80</v>
      </c>
      <c r="D40" t="s">
        <v>57</v>
      </c>
      <c r="E40" t="s">
        <v>43</v>
      </c>
      <c r="F40" t="s">
        <v>27</v>
      </c>
      <c r="G40">
        <v>708</v>
      </c>
      <c r="H40">
        <v>6</v>
      </c>
      <c r="I40">
        <v>4248</v>
      </c>
      <c r="J40">
        <v>4.5</v>
      </c>
      <c r="K40" t="s">
        <v>23</v>
      </c>
      <c r="L40">
        <v>2</v>
      </c>
      <c r="M40" t="str">
        <f t="shared" si="0"/>
        <v>February</v>
      </c>
      <c r="N40">
        <v>2025</v>
      </c>
      <c r="O40">
        <f t="shared" si="1"/>
        <v>2973.6</v>
      </c>
      <c r="P40">
        <f t="shared" si="2"/>
        <v>1274.4000000000001</v>
      </c>
    </row>
    <row r="41" spans="1:16">
      <c r="A41">
        <v>40</v>
      </c>
      <c r="B41" t="s">
        <v>55</v>
      </c>
      <c r="C41" t="s">
        <v>81</v>
      </c>
      <c r="D41" t="s">
        <v>76</v>
      </c>
      <c r="E41" t="s">
        <v>16</v>
      </c>
      <c r="F41" t="s">
        <v>17</v>
      </c>
      <c r="G41">
        <v>555</v>
      </c>
      <c r="H41">
        <v>18</v>
      </c>
      <c r="I41">
        <v>9990</v>
      </c>
      <c r="J41">
        <v>3.2</v>
      </c>
      <c r="K41" t="s">
        <v>28</v>
      </c>
      <c r="L41">
        <v>2</v>
      </c>
      <c r="M41" t="str">
        <f t="shared" si="0"/>
        <v>February</v>
      </c>
      <c r="N41">
        <v>2025</v>
      </c>
      <c r="O41">
        <f t="shared" si="1"/>
        <v>6993</v>
      </c>
      <c r="P41">
        <f t="shared" si="2"/>
        <v>2997</v>
      </c>
    </row>
    <row r="42" spans="1:16">
      <c r="A42">
        <v>41</v>
      </c>
      <c r="B42" t="s">
        <v>36</v>
      </c>
      <c r="C42" t="s">
        <v>82</v>
      </c>
      <c r="D42" t="s">
        <v>76</v>
      </c>
      <c r="E42" t="s">
        <v>33</v>
      </c>
      <c r="F42" t="s">
        <v>27</v>
      </c>
      <c r="G42">
        <v>1186</v>
      </c>
      <c r="H42">
        <v>2</v>
      </c>
      <c r="I42">
        <v>2372</v>
      </c>
      <c r="J42">
        <v>3</v>
      </c>
      <c r="K42" t="s">
        <v>35</v>
      </c>
      <c r="L42">
        <v>12</v>
      </c>
      <c r="M42" t="str">
        <f t="shared" si="0"/>
        <v>December</v>
      </c>
      <c r="N42">
        <v>2025</v>
      </c>
      <c r="O42">
        <f t="shared" si="1"/>
        <v>1660.3999999999999</v>
      </c>
      <c r="P42">
        <f t="shared" si="2"/>
        <v>711.60000000000014</v>
      </c>
    </row>
    <row r="43" spans="1:16">
      <c r="A43">
        <v>42</v>
      </c>
      <c r="B43" t="s">
        <v>69</v>
      </c>
      <c r="C43" t="s">
        <v>83</v>
      </c>
      <c r="D43" t="s">
        <v>32</v>
      </c>
      <c r="E43" t="s">
        <v>16</v>
      </c>
      <c r="F43" t="s">
        <v>63</v>
      </c>
      <c r="G43">
        <v>744</v>
      </c>
      <c r="H43">
        <v>10</v>
      </c>
      <c r="I43">
        <v>7440</v>
      </c>
      <c r="J43">
        <v>4.7</v>
      </c>
      <c r="K43" t="s">
        <v>18</v>
      </c>
      <c r="L43">
        <v>3</v>
      </c>
      <c r="M43" t="str">
        <f t="shared" si="0"/>
        <v>March</v>
      </c>
      <c r="N43">
        <v>2025</v>
      </c>
      <c r="O43">
        <f t="shared" si="1"/>
        <v>5208</v>
      </c>
      <c r="P43">
        <f t="shared" si="2"/>
        <v>2232</v>
      </c>
    </row>
    <row r="44" spans="1:16">
      <c r="A44">
        <v>43</v>
      </c>
      <c r="B44" t="s">
        <v>55</v>
      </c>
      <c r="C44" t="s">
        <v>84</v>
      </c>
      <c r="D44" t="s">
        <v>30</v>
      </c>
      <c r="E44" t="s">
        <v>50</v>
      </c>
      <c r="F44" t="s">
        <v>63</v>
      </c>
      <c r="G44">
        <v>1152</v>
      </c>
      <c r="H44">
        <v>12</v>
      </c>
      <c r="I44">
        <v>13824</v>
      </c>
      <c r="J44">
        <v>4.5</v>
      </c>
      <c r="K44" t="s">
        <v>47</v>
      </c>
      <c r="L44">
        <v>2</v>
      </c>
      <c r="M44" t="str">
        <f t="shared" si="0"/>
        <v>February</v>
      </c>
      <c r="N44">
        <v>2025</v>
      </c>
      <c r="O44">
        <f t="shared" si="1"/>
        <v>9676.7999999999993</v>
      </c>
      <c r="P44">
        <f t="shared" si="2"/>
        <v>4147.2000000000007</v>
      </c>
    </row>
    <row r="45" spans="1:16">
      <c r="A45">
        <v>44</v>
      </c>
      <c r="B45" t="s">
        <v>13</v>
      </c>
      <c r="C45" t="s">
        <v>85</v>
      </c>
      <c r="D45" t="s">
        <v>57</v>
      </c>
      <c r="E45" t="s">
        <v>43</v>
      </c>
      <c r="F45" t="s">
        <v>39</v>
      </c>
      <c r="G45">
        <v>1264</v>
      </c>
      <c r="H45">
        <v>6</v>
      </c>
      <c r="I45">
        <v>7584</v>
      </c>
      <c r="J45">
        <v>4.5999999999999996</v>
      </c>
      <c r="K45" t="s">
        <v>47</v>
      </c>
      <c r="L45">
        <v>12</v>
      </c>
      <c r="M45" t="str">
        <f t="shared" si="0"/>
        <v>December</v>
      </c>
      <c r="N45">
        <v>2025</v>
      </c>
      <c r="O45">
        <f t="shared" si="1"/>
        <v>5308.7999999999993</v>
      </c>
      <c r="P45">
        <f t="shared" si="2"/>
        <v>2275.2000000000007</v>
      </c>
    </row>
    <row r="46" spans="1:16">
      <c r="A46">
        <v>45</v>
      </c>
      <c r="B46" t="s">
        <v>36</v>
      </c>
      <c r="C46" t="s">
        <v>86</v>
      </c>
      <c r="D46" t="s">
        <v>38</v>
      </c>
      <c r="E46" t="s">
        <v>33</v>
      </c>
      <c r="F46" t="s">
        <v>22</v>
      </c>
      <c r="G46">
        <v>306</v>
      </c>
      <c r="H46">
        <v>10</v>
      </c>
      <c r="I46">
        <v>3060</v>
      </c>
      <c r="J46">
        <v>4.5</v>
      </c>
      <c r="K46" t="s">
        <v>28</v>
      </c>
      <c r="L46">
        <v>1</v>
      </c>
      <c r="M46" t="str">
        <f t="shared" si="0"/>
        <v>January</v>
      </c>
      <c r="N46">
        <v>2025</v>
      </c>
      <c r="O46">
        <f t="shared" si="1"/>
        <v>2142</v>
      </c>
      <c r="P46">
        <f t="shared" si="2"/>
        <v>918</v>
      </c>
    </row>
    <row r="47" spans="1:16">
      <c r="A47">
        <v>46</v>
      </c>
      <c r="B47" t="s">
        <v>13</v>
      </c>
      <c r="C47" t="s">
        <v>87</v>
      </c>
      <c r="D47" t="s">
        <v>42</v>
      </c>
      <c r="E47" t="s">
        <v>33</v>
      </c>
      <c r="F47" t="s">
        <v>22</v>
      </c>
      <c r="G47">
        <v>1250</v>
      </c>
      <c r="H47">
        <v>16</v>
      </c>
      <c r="I47">
        <v>20000</v>
      </c>
      <c r="J47">
        <v>4.7</v>
      </c>
      <c r="K47" t="s">
        <v>18</v>
      </c>
      <c r="L47">
        <v>12</v>
      </c>
      <c r="M47" t="str">
        <f t="shared" si="0"/>
        <v>December</v>
      </c>
      <c r="N47">
        <v>2025</v>
      </c>
      <c r="O47">
        <f t="shared" si="1"/>
        <v>14000</v>
      </c>
      <c r="P47">
        <f t="shared" si="2"/>
        <v>6000</v>
      </c>
    </row>
    <row r="48" spans="1:16">
      <c r="A48">
        <v>47</v>
      </c>
      <c r="B48" t="s">
        <v>69</v>
      </c>
      <c r="C48" t="s">
        <v>70</v>
      </c>
      <c r="D48" t="s">
        <v>60</v>
      </c>
      <c r="E48" t="s">
        <v>43</v>
      </c>
      <c r="F48" t="s">
        <v>63</v>
      </c>
      <c r="G48">
        <v>560</v>
      </c>
      <c r="H48">
        <v>7</v>
      </c>
      <c r="I48">
        <v>3920</v>
      </c>
      <c r="J48">
        <v>3.3</v>
      </c>
      <c r="K48" t="s">
        <v>35</v>
      </c>
      <c r="L48">
        <v>7</v>
      </c>
      <c r="M48" t="str">
        <f t="shared" si="0"/>
        <v>July</v>
      </c>
      <c r="N48">
        <v>2025</v>
      </c>
      <c r="O48">
        <f t="shared" si="1"/>
        <v>2744</v>
      </c>
      <c r="P48">
        <f t="shared" si="2"/>
        <v>1176</v>
      </c>
    </row>
    <row r="49" spans="1:16">
      <c r="A49">
        <v>48</v>
      </c>
      <c r="B49" t="s">
        <v>19</v>
      </c>
      <c r="C49" t="s">
        <v>88</v>
      </c>
      <c r="D49" t="s">
        <v>30</v>
      </c>
      <c r="E49" t="s">
        <v>16</v>
      </c>
      <c r="F49" t="s">
        <v>63</v>
      </c>
      <c r="G49">
        <v>705</v>
      </c>
      <c r="H49">
        <v>4</v>
      </c>
      <c r="I49">
        <v>2820</v>
      </c>
      <c r="J49">
        <v>4.7</v>
      </c>
      <c r="K49" t="s">
        <v>23</v>
      </c>
      <c r="L49">
        <v>9</v>
      </c>
      <c r="M49" t="str">
        <f t="shared" si="0"/>
        <v>September</v>
      </c>
      <c r="N49">
        <v>2025</v>
      </c>
      <c r="O49">
        <f t="shared" si="1"/>
        <v>1973.9999999999998</v>
      </c>
      <c r="P49">
        <f t="shared" si="2"/>
        <v>846.00000000000023</v>
      </c>
    </row>
    <row r="50" spans="1:16">
      <c r="A50">
        <v>49</v>
      </c>
      <c r="B50" t="s">
        <v>36</v>
      </c>
      <c r="C50" t="s">
        <v>89</v>
      </c>
      <c r="D50" t="s">
        <v>26</v>
      </c>
      <c r="E50" t="s">
        <v>43</v>
      </c>
      <c r="F50" t="s">
        <v>27</v>
      </c>
      <c r="G50">
        <v>907</v>
      </c>
      <c r="H50">
        <v>1</v>
      </c>
      <c r="I50">
        <v>907</v>
      </c>
      <c r="J50">
        <v>3.6</v>
      </c>
      <c r="K50" t="s">
        <v>18</v>
      </c>
      <c r="L50">
        <v>1</v>
      </c>
      <c r="M50" t="str">
        <f t="shared" si="0"/>
        <v>January</v>
      </c>
      <c r="N50">
        <v>2025</v>
      </c>
      <c r="O50">
        <f t="shared" si="1"/>
        <v>634.9</v>
      </c>
      <c r="P50">
        <f t="shared" si="2"/>
        <v>272.10000000000002</v>
      </c>
    </row>
    <row r="51" spans="1:16">
      <c r="A51">
        <v>50</v>
      </c>
      <c r="B51" t="s">
        <v>58</v>
      </c>
      <c r="C51" t="s">
        <v>90</v>
      </c>
      <c r="D51" t="s">
        <v>26</v>
      </c>
      <c r="E51" t="s">
        <v>16</v>
      </c>
      <c r="F51" t="s">
        <v>34</v>
      </c>
      <c r="G51">
        <v>314</v>
      </c>
      <c r="H51">
        <v>8</v>
      </c>
      <c r="I51">
        <v>2512</v>
      </c>
      <c r="J51">
        <v>4</v>
      </c>
      <c r="K51" t="s">
        <v>28</v>
      </c>
      <c r="L51">
        <v>7</v>
      </c>
      <c r="M51" t="str">
        <f t="shared" si="0"/>
        <v>July</v>
      </c>
      <c r="N51">
        <v>2025</v>
      </c>
      <c r="O51">
        <f t="shared" si="1"/>
        <v>1758.3999999999999</v>
      </c>
      <c r="P51">
        <f t="shared" si="2"/>
        <v>753.60000000000014</v>
      </c>
    </row>
    <row r="52" spans="1:16">
      <c r="A52">
        <v>51</v>
      </c>
      <c r="B52" t="s">
        <v>64</v>
      </c>
      <c r="C52" t="s">
        <v>91</v>
      </c>
      <c r="D52" t="s">
        <v>38</v>
      </c>
      <c r="E52" t="s">
        <v>16</v>
      </c>
      <c r="F52" t="s">
        <v>22</v>
      </c>
      <c r="G52">
        <v>1278</v>
      </c>
      <c r="H52">
        <v>19</v>
      </c>
      <c r="I52">
        <v>24282</v>
      </c>
      <c r="J52">
        <v>4.2</v>
      </c>
      <c r="K52" t="s">
        <v>47</v>
      </c>
      <c r="L52">
        <v>7</v>
      </c>
      <c r="M52" t="str">
        <f t="shared" si="0"/>
        <v>July</v>
      </c>
      <c r="N52">
        <v>2025</v>
      </c>
      <c r="O52">
        <f t="shared" si="1"/>
        <v>16997.399999999998</v>
      </c>
      <c r="P52">
        <f t="shared" si="2"/>
        <v>7284.6000000000022</v>
      </c>
    </row>
    <row r="53" spans="1:16">
      <c r="A53">
        <v>52</v>
      </c>
      <c r="B53" t="s">
        <v>13</v>
      </c>
      <c r="C53" t="s">
        <v>92</v>
      </c>
      <c r="D53" t="s">
        <v>21</v>
      </c>
      <c r="E53" t="s">
        <v>16</v>
      </c>
      <c r="F53" t="s">
        <v>17</v>
      </c>
      <c r="G53">
        <v>695</v>
      </c>
      <c r="H53">
        <v>20</v>
      </c>
      <c r="I53">
        <v>13900</v>
      </c>
      <c r="J53">
        <v>5</v>
      </c>
      <c r="K53" t="s">
        <v>35</v>
      </c>
      <c r="L53">
        <v>6</v>
      </c>
      <c r="M53" t="str">
        <f t="shared" si="0"/>
        <v>June</v>
      </c>
      <c r="N53">
        <v>2025</v>
      </c>
      <c r="O53">
        <f t="shared" si="1"/>
        <v>9730</v>
      </c>
      <c r="P53">
        <f t="shared" si="2"/>
        <v>4170</v>
      </c>
    </row>
    <row r="54" spans="1:16">
      <c r="A54">
        <v>53</v>
      </c>
      <c r="B54" t="s">
        <v>24</v>
      </c>
      <c r="C54" t="s">
        <v>93</v>
      </c>
      <c r="D54" t="s">
        <v>32</v>
      </c>
      <c r="E54" t="s">
        <v>16</v>
      </c>
      <c r="F54" t="s">
        <v>22</v>
      </c>
      <c r="G54">
        <v>1300</v>
      </c>
      <c r="H54">
        <v>18</v>
      </c>
      <c r="I54">
        <v>23400</v>
      </c>
      <c r="J54">
        <v>4.2</v>
      </c>
      <c r="K54" t="s">
        <v>23</v>
      </c>
      <c r="L54">
        <v>7</v>
      </c>
      <c r="M54" t="str">
        <f t="shared" si="0"/>
        <v>July</v>
      </c>
      <c r="N54">
        <v>2025</v>
      </c>
      <c r="O54">
        <f t="shared" si="1"/>
        <v>16379.999999999998</v>
      </c>
      <c r="P54">
        <f t="shared" si="2"/>
        <v>7020.0000000000018</v>
      </c>
    </row>
    <row r="55" spans="1:16">
      <c r="A55">
        <v>54</v>
      </c>
      <c r="B55" t="s">
        <v>40</v>
      </c>
      <c r="C55" t="s">
        <v>94</v>
      </c>
      <c r="D55" t="s">
        <v>15</v>
      </c>
      <c r="E55" t="s">
        <v>16</v>
      </c>
      <c r="F55" t="s">
        <v>34</v>
      </c>
      <c r="G55">
        <v>1409</v>
      </c>
      <c r="H55">
        <v>1</v>
      </c>
      <c r="I55">
        <v>1409</v>
      </c>
      <c r="J55">
        <v>4.0999999999999996</v>
      </c>
      <c r="K55" t="s">
        <v>18</v>
      </c>
      <c r="L55">
        <v>7</v>
      </c>
      <c r="M55" t="str">
        <f t="shared" si="0"/>
        <v>July</v>
      </c>
      <c r="N55">
        <v>2025</v>
      </c>
      <c r="O55">
        <f t="shared" si="1"/>
        <v>986.3</v>
      </c>
      <c r="P55">
        <f t="shared" si="2"/>
        <v>422.70000000000005</v>
      </c>
    </row>
    <row r="56" spans="1:16">
      <c r="A56">
        <v>55</v>
      </c>
      <c r="B56" t="s">
        <v>40</v>
      </c>
      <c r="C56" t="s">
        <v>95</v>
      </c>
      <c r="D56" t="s">
        <v>42</v>
      </c>
      <c r="E56" t="s">
        <v>16</v>
      </c>
      <c r="F56" t="s">
        <v>63</v>
      </c>
      <c r="G56">
        <v>1159</v>
      </c>
      <c r="H56">
        <v>11</v>
      </c>
      <c r="I56">
        <v>12749</v>
      </c>
      <c r="J56">
        <v>3.8</v>
      </c>
      <c r="K56" t="s">
        <v>35</v>
      </c>
      <c r="L56">
        <v>10</v>
      </c>
      <c r="M56" t="str">
        <f t="shared" si="0"/>
        <v>October</v>
      </c>
      <c r="N56">
        <v>2025</v>
      </c>
      <c r="O56">
        <f t="shared" si="1"/>
        <v>8924.2999999999993</v>
      </c>
      <c r="P56">
        <f t="shared" si="2"/>
        <v>3824.7000000000007</v>
      </c>
    </row>
    <row r="57" spans="1:16">
      <c r="A57">
        <v>56</v>
      </c>
      <c r="B57" t="s">
        <v>69</v>
      </c>
      <c r="C57" t="s">
        <v>96</v>
      </c>
      <c r="D57" t="s">
        <v>76</v>
      </c>
      <c r="E57" t="s">
        <v>43</v>
      </c>
      <c r="F57" t="s">
        <v>34</v>
      </c>
      <c r="G57">
        <v>1489</v>
      </c>
      <c r="H57">
        <v>17</v>
      </c>
      <c r="I57">
        <v>25313</v>
      </c>
      <c r="J57">
        <v>4</v>
      </c>
      <c r="K57" t="s">
        <v>18</v>
      </c>
      <c r="L57">
        <v>3</v>
      </c>
      <c r="M57" t="str">
        <f t="shared" si="0"/>
        <v>March</v>
      </c>
      <c r="N57">
        <v>2025</v>
      </c>
      <c r="O57">
        <f t="shared" si="1"/>
        <v>17719.099999999999</v>
      </c>
      <c r="P57">
        <f t="shared" si="2"/>
        <v>7593.9000000000015</v>
      </c>
    </row>
    <row r="58" spans="1:16">
      <c r="A58">
        <v>57</v>
      </c>
      <c r="B58" t="s">
        <v>69</v>
      </c>
      <c r="C58" t="s">
        <v>71</v>
      </c>
      <c r="D58" t="s">
        <v>30</v>
      </c>
      <c r="E58" t="s">
        <v>50</v>
      </c>
      <c r="F58" t="s">
        <v>63</v>
      </c>
      <c r="G58">
        <v>496</v>
      </c>
      <c r="H58">
        <v>6</v>
      </c>
      <c r="I58">
        <v>2976</v>
      </c>
      <c r="J58">
        <v>3.8</v>
      </c>
      <c r="K58" t="s">
        <v>28</v>
      </c>
      <c r="L58">
        <v>12</v>
      </c>
      <c r="M58" t="str">
        <f t="shared" si="0"/>
        <v>December</v>
      </c>
      <c r="N58">
        <v>2025</v>
      </c>
      <c r="O58">
        <f t="shared" si="1"/>
        <v>2083.1999999999998</v>
      </c>
      <c r="P58">
        <f t="shared" si="2"/>
        <v>892.80000000000018</v>
      </c>
    </row>
    <row r="59" spans="1:16">
      <c r="A59">
        <v>58</v>
      </c>
      <c r="B59" t="s">
        <v>55</v>
      </c>
      <c r="C59" t="s">
        <v>97</v>
      </c>
      <c r="D59" t="s">
        <v>76</v>
      </c>
      <c r="E59" t="s">
        <v>33</v>
      </c>
      <c r="F59" t="s">
        <v>39</v>
      </c>
      <c r="G59">
        <v>1102</v>
      </c>
      <c r="H59">
        <v>14</v>
      </c>
      <c r="I59">
        <v>15428</v>
      </c>
      <c r="J59">
        <v>4.5999999999999996</v>
      </c>
      <c r="K59" t="s">
        <v>35</v>
      </c>
      <c r="L59">
        <v>10</v>
      </c>
      <c r="M59" t="str">
        <f t="shared" si="0"/>
        <v>October</v>
      </c>
      <c r="N59">
        <v>2025</v>
      </c>
      <c r="O59">
        <f t="shared" si="1"/>
        <v>10799.599999999999</v>
      </c>
      <c r="P59">
        <f t="shared" si="2"/>
        <v>4628.4000000000015</v>
      </c>
    </row>
    <row r="60" spans="1:16">
      <c r="A60">
        <v>59</v>
      </c>
      <c r="B60" t="s">
        <v>69</v>
      </c>
      <c r="C60" t="s">
        <v>98</v>
      </c>
      <c r="D60" t="s">
        <v>60</v>
      </c>
      <c r="E60" t="s">
        <v>43</v>
      </c>
      <c r="F60" t="s">
        <v>39</v>
      </c>
      <c r="G60">
        <v>481</v>
      </c>
      <c r="H60">
        <v>7</v>
      </c>
      <c r="I60">
        <v>3367</v>
      </c>
      <c r="J60">
        <v>3.4</v>
      </c>
      <c r="K60" t="s">
        <v>23</v>
      </c>
      <c r="L60">
        <v>4</v>
      </c>
      <c r="M60" t="str">
        <f t="shared" si="0"/>
        <v>April</v>
      </c>
      <c r="N60">
        <v>2025</v>
      </c>
      <c r="O60">
        <f t="shared" si="1"/>
        <v>2356.8999999999996</v>
      </c>
      <c r="P60">
        <f t="shared" si="2"/>
        <v>1010.1000000000004</v>
      </c>
    </row>
    <row r="61" spans="1:16">
      <c r="A61">
        <v>60</v>
      </c>
      <c r="B61" t="s">
        <v>55</v>
      </c>
      <c r="C61" t="s">
        <v>84</v>
      </c>
      <c r="D61" t="s">
        <v>60</v>
      </c>
      <c r="E61" t="s">
        <v>50</v>
      </c>
      <c r="F61" t="s">
        <v>63</v>
      </c>
      <c r="G61">
        <v>473</v>
      </c>
      <c r="H61">
        <v>1</v>
      </c>
      <c r="I61">
        <v>473</v>
      </c>
      <c r="J61">
        <v>3.2</v>
      </c>
      <c r="K61" t="s">
        <v>47</v>
      </c>
      <c r="L61">
        <v>11</v>
      </c>
      <c r="M61" t="str">
        <f t="shared" si="0"/>
        <v>November</v>
      </c>
      <c r="N61">
        <v>2025</v>
      </c>
      <c r="O61">
        <f t="shared" si="1"/>
        <v>331.09999999999997</v>
      </c>
      <c r="P61">
        <f t="shared" si="2"/>
        <v>141.90000000000003</v>
      </c>
    </row>
    <row r="62" spans="1:16">
      <c r="A62">
        <v>61</v>
      </c>
      <c r="B62" t="s">
        <v>69</v>
      </c>
      <c r="C62" t="s">
        <v>99</v>
      </c>
      <c r="D62" t="s">
        <v>30</v>
      </c>
      <c r="E62" t="s">
        <v>16</v>
      </c>
      <c r="F62" t="s">
        <v>17</v>
      </c>
      <c r="G62">
        <v>668</v>
      </c>
      <c r="H62">
        <v>20</v>
      </c>
      <c r="I62">
        <v>13360</v>
      </c>
      <c r="J62">
        <v>3.1</v>
      </c>
      <c r="K62" t="s">
        <v>23</v>
      </c>
      <c r="L62">
        <v>3</v>
      </c>
      <c r="M62" t="str">
        <f t="shared" si="0"/>
        <v>March</v>
      </c>
      <c r="N62">
        <v>2025</v>
      </c>
      <c r="O62">
        <f t="shared" si="1"/>
        <v>9352</v>
      </c>
      <c r="P62">
        <f t="shared" si="2"/>
        <v>4008</v>
      </c>
    </row>
    <row r="63" spans="1:16">
      <c r="A63">
        <v>62</v>
      </c>
      <c r="B63" t="s">
        <v>55</v>
      </c>
      <c r="C63" t="s">
        <v>100</v>
      </c>
      <c r="D63" t="s">
        <v>30</v>
      </c>
      <c r="E63" t="s">
        <v>33</v>
      </c>
      <c r="F63" t="s">
        <v>17</v>
      </c>
      <c r="G63">
        <v>1325</v>
      </c>
      <c r="H63">
        <v>16</v>
      </c>
      <c r="I63">
        <v>21200</v>
      </c>
      <c r="J63">
        <v>4</v>
      </c>
      <c r="K63" t="s">
        <v>18</v>
      </c>
      <c r="L63">
        <v>1</v>
      </c>
      <c r="M63" t="str">
        <f t="shared" si="0"/>
        <v>January</v>
      </c>
      <c r="N63">
        <v>2025</v>
      </c>
      <c r="O63">
        <f t="shared" si="1"/>
        <v>14839.999999999998</v>
      </c>
      <c r="P63">
        <f t="shared" si="2"/>
        <v>6360.0000000000018</v>
      </c>
    </row>
    <row r="64" spans="1:16">
      <c r="A64">
        <v>63</v>
      </c>
      <c r="B64" t="s">
        <v>69</v>
      </c>
      <c r="C64" t="s">
        <v>73</v>
      </c>
      <c r="D64" t="s">
        <v>32</v>
      </c>
      <c r="E64" t="s">
        <v>16</v>
      </c>
      <c r="F64" t="s">
        <v>63</v>
      </c>
      <c r="G64">
        <v>428</v>
      </c>
      <c r="H64">
        <v>15</v>
      </c>
      <c r="I64">
        <v>6420</v>
      </c>
      <c r="J64">
        <v>4.9000000000000004</v>
      </c>
      <c r="K64" t="s">
        <v>28</v>
      </c>
      <c r="L64">
        <v>6</v>
      </c>
      <c r="M64" t="str">
        <f t="shared" si="0"/>
        <v>June</v>
      </c>
      <c r="N64">
        <v>2025</v>
      </c>
      <c r="O64">
        <f t="shared" si="1"/>
        <v>4494</v>
      </c>
      <c r="P64">
        <f t="shared" si="2"/>
        <v>1926</v>
      </c>
    </row>
    <row r="65" spans="1:16">
      <c r="A65">
        <v>64</v>
      </c>
      <c r="B65" t="s">
        <v>13</v>
      </c>
      <c r="C65" t="s">
        <v>48</v>
      </c>
      <c r="D65" t="s">
        <v>26</v>
      </c>
      <c r="E65" t="s">
        <v>33</v>
      </c>
      <c r="F65" t="s">
        <v>17</v>
      </c>
      <c r="G65">
        <v>567</v>
      </c>
      <c r="H65">
        <v>7</v>
      </c>
      <c r="I65">
        <v>3969</v>
      </c>
      <c r="J65">
        <v>4.8</v>
      </c>
      <c r="K65" t="s">
        <v>28</v>
      </c>
      <c r="L65">
        <v>8</v>
      </c>
      <c r="M65" t="str">
        <f t="shared" si="0"/>
        <v>August</v>
      </c>
      <c r="N65">
        <v>2025</v>
      </c>
      <c r="O65">
        <f t="shared" si="1"/>
        <v>2778.2999999999997</v>
      </c>
      <c r="P65">
        <f t="shared" si="2"/>
        <v>1190.7000000000003</v>
      </c>
    </row>
    <row r="66" spans="1:16">
      <c r="A66">
        <v>65</v>
      </c>
      <c r="B66" t="s">
        <v>44</v>
      </c>
      <c r="C66" t="s">
        <v>101</v>
      </c>
      <c r="D66" t="s">
        <v>60</v>
      </c>
      <c r="E66" t="s">
        <v>50</v>
      </c>
      <c r="F66" t="s">
        <v>63</v>
      </c>
      <c r="G66">
        <v>973</v>
      </c>
      <c r="H66">
        <v>14</v>
      </c>
      <c r="I66">
        <v>13622</v>
      </c>
      <c r="J66">
        <v>3.9</v>
      </c>
      <c r="K66" t="s">
        <v>28</v>
      </c>
      <c r="L66">
        <v>11</v>
      </c>
      <c r="M66" t="str">
        <f t="shared" si="0"/>
        <v>November</v>
      </c>
      <c r="N66">
        <v>2025</v>
      </c>
      <c r="O66">
        <f t="shared" si="1"/>
        <v>9535.4</v>
      </c>
      <c r="P66">
        <f t="shared" si="2"/>
        <v>4086.6000000000004</v>
      </c>
    </row>
    <row r="67" spans="1:16">
      <c r="A67">
        <v>66</v>
      </c>
      <c r="B67" t="s">
        <v>64</v>
      </c>
      <c r="C67" t="s">
        <v>102</v>
      </c>
      <c r="D67" t="s">
        <v>21</v>
      </c>
      <c r="E67" t="s">
        <v>43</v>
      </c>
      <c r="F67" t="s">
        <v>39</v>
      </c>
      <c r="G67">
        <v>460</v>
      </c>
      <c r="H67">
        <v>18</v>
      </c>
      <c r="I67">
        <v>8280</v>
      </c>
      <c r="J67">
        <v>4.3</v>
      </c>
      <c r="K67" t="s">
        <v>23</v>
      </c>
      <c r="L67">
        <v>3</v>
      </c>
      <c r="M67" t="str">
        <f t="shared" ref="M67:M130" si="3">TEXT(DATE(2025, L67, 1), "mmmm")</f>
        <v>March</v>
      </c>
      <c r="N67">
        <v>2025</v>
      </c>
      <c r="O67">
        <f t="shared" ref="O67:O130" si="4">I67*0.7</f>
        <v>5796</v>
      </c>
      <c r="P67">
        <f t="shared" ref="P67:P130" si="5">I67-O67</f>
        <v>2484</v>
      </c>
    </row>
    <row r="68" spans="1:16">
      <c r="A68">
        <v>67</v>
      </c>
      <c r="B68" t="s">
        <v>44</v>
      </c>
      <c r="C68" t="s">
        <v>103</v>
      </c>
      <c r="D68" t="s">
        <v>38</v>
      </c>
      <c r="E68" t="s">
        <v>43</v>
      </c>
      <c r="F68" t="s">
        <v>17</v>
      </c>
      <c r="G68">
        <v>1442</v>
      </c>
      <c r="H68">
        <v>2</v>
      </c>
      <c r="I68">
        <v>2884</v>
      </c>
      <c r="J68">
        <v>3.3</v>
      </c>
      <c r="K68" t="s">
        <v>23</v>
      </c>
      <c r="L68">
        <v>9</v>
      </c>
      <c r="M68" t="str">
        <f t="shared" si="3"/>
        <v>September</v>
      </c>
      <c r="N68">
        <v>2025</v>
      </c>
      <c r="O68">
        <f t="shared" si="4"/>
        <v>2018.8</v>
      </c>
      <c r="P68">
        <f t="shared" si="5"/>
        <v>865.2</v>
      </c>
    </row>
    <row r="69" spans="1:16">
      <c r="A69">
        <v>68</v>
      </c>
      <c r="B69" t="s">
        <v>69</v>
      </c>
      <c r="C69" t="s">
        <v>104</v>
      </c>
      <c r="D69" t="s">
        <v>57</v>
      </c>
      <c r="E69" t="s">
        <v>16</v>
      </c>
      <c r="F69" t="s">
        <v>39</v>
      </c>
      <c r="G69">
        <v>1242</v>
      </c>
      <c r="H69">
        <v>4</v>
      </c>
      <c r="I69">
        <v>4968</v>
      </c>
      <c r="J69">
        <v>4.8</v>
      </c>
      <c r="K69" t="s">
        <v>23</v>
      </c>
      <c r="L69">
        <v>11</v>
      </c>
      <c r="M69" t="str">
        <f t="shared" si="3"/>
        <v>November</v>
      </c>
      <c r="N69">
        <v>2025</v>
      </c>
      <c r="O69">
        <f t="shared" si="4"/>
        <v>3477.6</v>
      </c>
      <c r="P69">
        <f t="shared" si="5"/>
        <v>1490.4</v>
      </c>
    </row>
    <row r="70" spans="1:16">
      <c r="A70">
        <v>69</v>
      </c>
      <c r="B70" t="s">
        <v>69</v>
      </c>
      <c r="C70" t="s">
        <v>105</v>
      </c>
      <c r="D70" t="s">
        <v>42</v>
      </c>
      <c r="E70" t="s">
        <v>16</v>
      </c>
      <c r="F70" t="s">
        <v>17</v>
      </c>
      <c r="G70">
        <v>797</v>
      </c>
      <c r="H70">
        <v>8</v>
      </c>
      <c r="I70">
        <v>6376</v>
      </c>
      <c r="J70">
        <v>4.2</v>
      </c>
      <c r="K70" t="s">
        <v>35</v>
      </c>
      <c r="L70">
        <v>7</v>
      </c>
      <c r="M70" t="str">
        <f t="shared" si="3"/>
        <v>July</v>
      </c>
      <c r="N70">
        <v>2025</v>
      </c>
      <c r="O70">
        <f t="shared" si="4"/>
        <v>4463.2</v>
      </c>
      <c r="P70">
        <f t="shared" si="5"/>
        <v>1912.8000000000002</v>
      </c>
    </row>
    <row r="71" spans="1:16">
      <c r="A71">
        <v>70</v>
      </c>
      <c r="B71" t="s">
        <v>40</v>
      </c>
      <c r="C71" t="s">
        <v>106</v>
      </c>
      <c r="D71" t="s">
        <v>76</v>
      </c>
      <c r="E71" t="s">
        <v>43</v>
      </c>
      <c r="F71" t="s">
        <v>17</v>
      </c>
      <c r="G71">
        <v>1057</v>
      </c>
      <c r="H71">
        <v>9</v>
      </c>
      <c r="I71">
        <v>9513</v>
      </c>
      <c r="J71">
        <v>4.9000000000000004</v>
      </c>
      <c r="K71" t="s">
        <v>47</v>
      </c>
      <c r="L71">
        <v>9</v>
      </c>
      <c r="M71" t="str">
        <f t="shared" si="3"/>
        <v>September</v>
      </c>
      <c r="N71">
        <v>2025</v>
      </c>
      <c r="O71">
        <f t="shared" si="4"/>
        <v>6659.0999999999995</v>
      </c>
      <c r="P71">
        <f t="shared" si="5"/>
        <v>2853.9000000000005</v>
      </c>
    </row>
    <row r="72" spans="1:16">
      <c r="A72">
        <v>71</v>
      </c>
      <c r="B72" t="s">
        <v>55</v>
      </c>
      <c r="C72" t="s">
        <v>84</v>
      </c>
      <c r="D72" t="s">
        <v>42</v>
      </c>
      <c r="E72" t="s">
        <v>16</v>
      </c>
      <c r="F72" t="s">
        <v>39</v>
      </c>
      <c r="G72">
        <v>1052</v>
      </c>
      <c r="H72">
        <v>2</v>
      </c>
      <c r="I72">
        <v>2104</v>
      </c>
      <c r="J72">
        <v>4.7</v>
      </c>
      <c r="K72" t="s">
        <v>47</v>
      </c>
      <c r="L72">
        <v>9</v>
      </c>
      <c r="M72" t="str">
        <f t="shared" si="3"/>
        <v>September</v>
      </c>
      <c r="N72">
        <v>2025</v>
      </c>
      <c r="O72">
        <f t="shared" si="4"/>
        <v>1472.8</v>
      </c>
      <c r="P72">
        <f t="shared" si="5"/>
        <v>631.20000000000005</v>
      </c>
    </row>
    <row r="73" spans="1:16">
      <c r="A73">
        <v>72</v>
      </c>
      <c r="B73" t="s">
        <v>13</v>
      </c>
      <c r="C73" t="s">
        <v>107</v>
      </c>
      <c r="D73" t="s">
        <v>21</v>
      </c>
      <c r="E73" t="s">
        <v>43</v>
      </c>
      <c r="F73" t="s">
        <v>34</v>
      </c>
      <c r="G73">
        <v>534</v>
      </c>
      <c r="H73">
        <v>20</v>
      </c>
      <c r="I73">
        <v>10680</v>
      </c>
      <c r="J73">
        <v>4.5</v>
      </c>
      <c r="K73" t="s">
        <v>47</v>
      </c>
      <c r="L73">
        <v>10</v>
      </c>
      <c r="M73" t="str">
        <f t="shared" si="3"/>
        <v>October</v>
      </c>
      <c r="N73">
        <v>2025</v>
      </c>
      <c r="O73">
        <f t="shared" si="4"/>
        <v>7475.9999999999991</v>
      </c>
      <c r="P73">
        <f t="shared" si="5"/>
        <v>3204.0000000000009</v>
      </c>
    </row>
    <row r="74" spans="1:16">
      <c r="A74">
        <v>73</v>
      </c>
      <c r="B74" t="s">
        <v>40</v>
      </c>
      <c r="C74" t="s">
        <v>106</v>
      </c>
      <c r="D74" t="s">
        <v>57</v>
      </c>
      <c r="E74" t="s">
        <v>33</v>
      </c>
      <c r="F74" t="s">
        <v>39</v>
      </c>
      <c r="G74">
        <v>991</v>
      </c>
      <c r="H74">
        <v>20</v>
      </c>
      <c r="I74">
        <v>19820</v>
      </c>
      <c r="J74">
        <v>4.9000000000000004</v>
      </c>
      <c r="K74" t="s">
        <v>28</v>
      </c>
      <c r="L74">
        <v>1</v>
      </c>
      <c r="M74" t="str">
        <f t="shared" si="3"/>
        <v>January</v>
      </c>
      <c r="N74">
        <v>2025</v>
      </c>
      <c r="O74">
        <f t="shared" si="4"/>
        <v>13874</v>
      </c>
      <c r="P74">
        <f t="shared" si="5"/>
        <v>5946</v>
      </c>
    </row>
    <row r="75" spans="1:16">
      <c r="A75">
        <v>74</v>
      </c>
      <c r="B75" t="s">
        <v>24</v>
      </c>
      <c r="C75" t="s">
        <v>93</v>
      </c>
      <c r="D75" t="s">
        <v>38</v>
      </c>
      <c r="E75" t="s">
        <v>50</v>
      </c>
      <c r="F75" t="s">
        <v>22</v>
      </c>
      <c r="G75">
        <v>1272</v>
      </c>
      <c r="H75">
        <v>7</v>
      </c>
      <c r="I75">
        <v>8904</v>
      </c>
      <c r="J75">
        <v>3.4</v>
      </c>
      <c r="K75" t="s">
        <v>35</v>
      </c>
      <c r="L75">
        <v>4</v>
      </c>
      <c r="M75" t="str">
        <f t="shared" si="3"/>
        <v>April</v>
      </c>
      <c r="N75">
        <v>2025</v>
      </c>
      <c r="O75">
        <f t="shared" si="4"/>
        <v>6232.7999999999993</v>
      </c>
      <c r="P75">
        <f t="shared" si="5"/>
        <v>2671.2000000000007</v>
      </c>
    </row>
    <row r="76" spans="1:16">
      <c r="A76">
        <v>75</v>
      </c>
      <c r="B76" t="s">
        <v>24</v>
      </c>
      <c r="C76" t="s">
        <v>108</v>
      </c>
      <c r="D76" t="s">
        <v>15</v>
      </c>
      <c r="E76" t="s">
        <v>43</v>
      </c>
      <c r="F76" t="s">
        <v>39</v>
      </c>
      <c r="G76">
        <v>754</v>
      </c>
      <c r="H76">
        <v>8</v>
      </c>
      <c r="I76">
        <v>6032</v>
      </c>
      <c r="J76">
        <v>4.9000000000000004</v>
      </c>
      <c r="K76" t="s">
        <v>28</v>
      </c>
      <c r="L76">
        <v>1</v>
      </c>
      <c r="M76" t="str">
        <f t="shared" si="3"/>
        <v>January</v>
      </c>
      <c r="N76">
        <v>2025</v>
      </c>
      <c r="O76">
        <f t="shared" si="4"/>
        <v>4222.3999999999996</v>
      </c>
      <c r="P76">
        <f t="shared" si="5"/>
        <v>1809.6000000000004</v>
      </c>
    </row>
    <row r="77" spans="1:16">
      <c r="A77">
        <v>76</v>
      </c>
      <c r="B77" t="s">
        <v>24</v>
      </c>
      <c r="C77" t="s">
        <v>109</v>
      </c>
      <c r="D77" t="s">
        <v>42</v>
      </c>
      <c r="E77" t="s">
        <v>33</v>
      </c>
      <c r="F77" t="s">
        <v>39</v>
      </c>
      <c r="G77">
        <v>335</v>
      </c>
      <c r="H77">
        <v>2</v>
      </c>
      <c r="I77">
        <v>670</v>
      </c>
      <c r="J77">
        <v>3.6</v>
      </c>
      <c r="K77" t="s">
        <v>47</v>
      </c>
      <c r="L77">
        <v>11</v>
      </c>
      <c r="M77" t="str">
        <f t="shared" si="3"/>
        <v>November</v>
      </c>
      <c r="N77">
        <v>2025</v>
      </c>
      <c r="O77">
        <f t="shared" si="4"/>
        <v>468.99999999999994</v>
      </c>
      <c r="P77">
        <f t="shared" si="5"/>
        <v>201.00000000000006</v>
      </c>
    </row>
    <row r="78" spans="1:16">
      <c r="A78">
        <v>77</v>
      </c>
      <c r="B78" t="s">
        <v>19</v>
      </c>
      <c r="C78" t="s">
        <v>110</v>
      </c>
      <c r="D78" t="s">
        <v>38</v>
      </c>
      <c r="E78" t="s">
        <v>16</v>
      </c>
      <c r="F78" t="s">
        <v>22</v>
      </c>
      <c r="G78">
        <v>631</v>
      </c>
      <c r="H78">
        <v>12</v>
      </c>
      <c r="I78">
        <v>7572</v>
      </c>
      <c r="J78">
        <v>4.4000000000000004</v>
      </c>
      <c r="K78" t="s">
        <v>47</v>
      </c>
      <c r="L78">
        <v>12</v>
      </c>
      <c r="M78" t="str">
        <f t="shared" si="3"/>
        <v>December</v>
      </c>
      <c r="N78">
        <v>2025</v>
      </c>
      <c r="O78">
        <f t="shared" si="4"/>
        <v>5300.4</v>
      </c>
      <c r="P78">
        <f t="shared" si="5"/>
        <v>2271.6000000000004</v>
      </c>
    </row>
    <row r="79" spans="1:16">
      <c r="A79">
        <v>78</v>
      </c>
      <c r="B79" t="s">
        <v>13</v>
      </c>
      <c r="C79" t="s">
        <v>85</v>
      </c>
      <c r="D79" t="s">
        <v>15</v>
      </c>
      <c r="E79" t="s">
        <v>43</v>
      </c>
      <c r="F79" t="s">
        <v>22</v>
      </c>
      <c r="G79">
        <v>908</v>
      </c>
      <c r="H79">
        <v>7</v>
      </c>
      <c r="I79">
        <v>6356</v>
      </c>
      <c r="J79">
        <v>4.5999999999999996</v>
      </c>
      <c r="K79" t="s">
        <v>28</v>
      </c>
      <c r="L79">
        <v>2</v>
      </c>
      <c r="M79" t="str">
        <f t="shared" si="3"/>
        <v>February</v>
      </c>
      <c r="N79">
        <v>2025</v>
      </c>
      <c r="O79">
        <f t="shared" si="4"/>
        <v>4449.2</v>
      </c>
      <c r="P79">
        <f t="shared" si="5"/>
        <v>1906.8000000000002</v>
      </c>
    </row>
    <row r="80" spans="1:16">
      <c r="A80">
        <v>79</v>
      </c>
      <c r="B80" t="s">
        <v>55</v>
      </c>
      <c r="C80" t="s">
        <v>111</v>
      </c>
      <c r="D80" t="s">
        <v>21</v>
      </c>
      <c r="E80" t="s">
        <v>33</v>
      </c>
      <c r="F80" t="s">
        <v>27</v>
      </c>
      <c r="G80">
        <v>1121</v>
      </c>
      <c r="H80">
        <v>11</v>
      </c>
      <c r="I80">
        <v>12331</v>
      </c>
      <c r="J80">
        <v>4.0999999999999996</v>
      </c>
      <c r="K80" t="s">
        <v>35</v>
      </c>
      <c r="L80">
        <v>6</v>
      </c>
      <c r="M80" t="str">
        <f t="shared" si="3"/>
        <v>June</v>
      </c>
      <c r="N80">
        <v>2025</v>
      </c>
      <c r="O80">
        <f t="shared" si="4"/>
        <v>8631.6999999999989</v>
      </c>
      <c r="P80">
        <f t="shared" si="5"/>
        <v>3699.3000000000011</v>
      </c>
    </row>
    <row r="81" spans="1:16">
      <c r="A81">
        <v>80</v>
      </c>
      <c r="B81" t="s">
        <v>64</v>
      </c>
      <c r="C81" t="s">
        <v>112</v>
      </c>
      <c r="D81" t="s">
        <v>32</v>
      </c>
      <c r="E81" t="s">
        <v>43</v>
      </c>
      <c r="F81" t="s">
        <v>39</v>
      </c>
      <c r="G81">
        <v>1500</v>
      </c>
      <c r="H81">
        <v>8</v>
      </c>
      <c r="I81">
        <v>12000</v>
      </c>
      <c r="J81">
        <v>4.4000000000000004</v>
      </c>
      <c r="K81" t="s">
        <v>35</v>
      </c>
      <c r="L81">
        <v>12</v>
      </c>
      <c r="M81" t="str">
        <f t="shared" si="3"/>
        <v>December</v>
      </c>
      <c r="N81">
        <v>2025</v>
      </c>
      <c r="O81">
        <f t="shared" si="4"/>
        <v>8400</v>
      </c>
      <c r="P81">
        <f t="shared" si="5"/>
        <v>3600</v>
      </c>
    </row>
    <row r="82" spans="1:16">
      <c r="A82">
        <v>81</v>
      </c>
      <c r="B82" t="s">
        <v>44</v>
      </c>
      <c r="C82" t="s">
        <v>113</v>
      </c>
      <c r="D82" t="s">
        <v>76</v>
      </c>
      <c r="E82" t="s">
        <v>33</v>
      </c>
      <c r="F82" t="s">
        <v>27</v>
      </c>
      <c r="G82">
        <v>342</v>
      </c>
      <c r="H82">
        <v>4</v>
      </c>
      <c r="I82">
        <v>1368</v>
      </c>
      <c r="J82">
        <v>3.2</v>
      </c>
      <c r="K82" t="s">
        <v>35</v>
      </c>
      <c r="L82">
        <v>11</v>
      </c>
      <c r="M82" t="str">
        <f t="shared" si="3"/>
        <v>November</v>
      </c>
      <c r="N82">
        <v>2025</v>
      </c>
      <c r="O82">
        <f t="shared" si="4"/>
        <v>957.59999999999991</v>
      </c>
      <c r="P82">
        <f t="shared" si="5"/>
        <v>410.40000000000009</v>
      </c>
    </row>
    <row r="83" spans="1:16">
      <c r="A83">
        <v>82</v>
      </c>
      <c r="B83" t="s">
        <v>44</v>
      </c>
      <c r="C83" t="s">
        <v>114</v>
      </c>
      <c r="D83" t="s">
        <v>32</v>
      </c>
      <c r="E83" t="s">
        <v>33</v>
      </c>
      <c r="F83" t="s">
        <v>39</v>
      </c>
      <c r="G83">
        <v>1324</v>
      </c>
      <c r="H83">
        <v>9</v>
      </c>
      <c r="I83">
        <v>11916</v>
      </c>
      <c r="J83">
        <v>4.5</v>
      </c>
      <c r="K83" t="s">
        <v>35</v>
      </c>
      <c r="L83">
        <v>8</v>
      </c>
      <c r="M83" t="str">
        <f t="shared" si="3"/>
        <v>August</v>
      </c>
      <c r="N83">
        <v>2025</v>
      </c>
      <c r="O83">
        <f t="shared" si="4"/>
        <v>8341.1999999999989</v>
      </c>
      <c r="P83">
        <f t="shared" si="5"/>
        <v>3574.8000000000011</v>
      </c>
    </row>
    <row r="84" spans="1:16">
      <c r="A84">
        <v>83</v>
      </c>
      <c r="B84" t="s">
        <v>40</v>
      </c>
      <c r="C84" t="s">
        <v>106</v>
      </c>
      <c r="D84" t="s">
        <v>32</v>
      </c>
      <c r="E84" t="s">
        <v>50</v>
      </c>
      <c r="F84" t="s">
        <v>39</v>
      </c>
      <c r="G84">
        <v>984</v>
      </c>
      <c r="H84">
        <v>10</v>
      </c>
      <c r="I84">
        <v>9840</v>
      </c>
      <c r="J84">
        <v>4.3</v>
      </c>
      <c r="K84" t="s">
        <v>18</v>
      </c>
      <c r="L84">
        <v>6</v>
      </c>
      <c r="M84" t="str">
        <f t="shared" si="3"/>
        <v>June</v>
      </c>
      <c r="N84">
        <v>2025</v>
      </c>
      <c r="O84">
        <f t="shared" si="4"/>
        <v>6888</v>
      </c>
      <c r="P84">
        <f t="shared" si="5"/>
        <v>2952</v>
      </c>
    </row>
    <row r="85" spans="1:16">
      <c r="A85">
        <v>84</v>
      </c>
      <c r="B85" t="s">
        <v>64</v>
      </c>
      <c r="C85" t="s">
        <v>115</v>
      </c>
      <c r="D85" t="s">
        <v>32</v>
      </c>
      <c r="E85" t="s">
        <v>43</v>
      </c>
      <c r="F85" t="s">
        <v>17</v>
      </c>
      <c r="G85">
        <v>1458</v>
      </c>
      <c r="H85">
        <v>6</v>
      </c>
      <c r="I85">
        <v>8748</v>
      </c>
      <c r="J85">
        <v>3.9</v>
      </c>
      <c r="K85" t="s">
        <v>47</v>
      </c>
      <c r="L85">
        <v>12</v>
      </c>
      <c r="M85" t="str">
        <f t="shared" si="3"/>
        <v>December</v>
      </c>
      <c r="N85">
        <v>2025</v>
      </c>
      <c r="O85">
        <f t="shared" si="4"/>
        <v>6123.5999999999995</v>
      </c>
      <c r="P85">
        <f t="shared" si="5"/>
        <v>2624.4000000000005</v>
      </c>
    </row>
    <row r="86" spans="1:16">
      <c r="A86">
        <v>85</v>
      </c>
      <c r="B86" t="s">
        <v>55</v>
      </c>
      <c r="C86" t="s">
        <v>116</v>
      </c>
      <c r="D86" t="s">
        <v>76</v>
      </c>
      <c r="E86" t="s">
        <v>43</v>
      </c>
      <c r="F86" t="s">
        <v>63</v>
      </c>
      <c r="G86">
        <v>1454</v>
      </c>
      <c r="H86">
        <v>6</v>
      </c>
      <c r="I86">
        <v>8724</v>
      </c>
      <c r="J86">
        <v>3.2</v>
      </c>
      <c r="K86" t="s">
        <v>47</v>
      </c>
      <c r="L86">
        <v>12</v>
      </c>
      <c r="M86" t="str">
        <f t="shared" si="3"/>
        <v>December</v>
      </c>
      <c r="N86">
        <v>2025</v>
      </c>
      <c r="O86">
        <f t="shared" si="4"/>
        <v>6106.7999999999993</v>
      </c>
      <c r="P86">
        <f t="shared" si="5"/>
        <v>2617.2000000000007</v>
      </c>
    </row>
    <row r="87" spans="1:16">
      <c r="A87">
        <v>86</v>
      </c>
      <c r="B87" t="s">
        <v>58</v>
      </c>
      <c r="C87" t="s">
        <v>117</v>
      </c>
      <c r="D87" t="s">
        <v>60</v>
      </c>
      <c r="E87" t="s">
        <v>33</v>
      </c>
      <c r="F87" t="s">
        <v>63</v>
      </c>
      <c r="G87">
        <v>1142</v>
      </c>
      <c r="H87">
        <v>16</v>
      </c>
      <c r="I87">
        <v>18272</v>
      </c>
      <c r="J87">
        <v>4</v>
      </c>
      <c r="K87" t="s">
        <v>23</v>
      </c>
      <c r="L87">
        <v>4</v>
      </c>
      <c r="M87" t="str">
        <f t="shared" si="3"/>
        <v>April</v>
      </c>
      <c r="N87">
        <v>2025</v>
      </c>
      <c r="O87">
        <f t="shared" si="4"/>
        <v>12790.4</v>
      </c>
      <c r="P87">
        <f t="shared" si="5"/>
        <v>5481.6</v>
      </c>
    </row>
    <row r="88" spans="1:16">
      <c r="A88">
        <v>87</v>
      </c>
      <c r="B88" t="s">
        <v>64</v>
      </c>
      <c r="C88" t="s">
        <v>65</v>
      </c>
      <c r="D88" t="s">
        <v>32</v>
      </c>
      <c r="E88" t="s">
        <v>33</v>
      </c>
      <c r="F88" t="s">
        <v>17</v>
      </c>
      <c r="G88">
        <v>913</v>
      </c>
      <c r="H88">
        <v>9</v>
      </c>
      <c r="I88">
        <v>8217</v>
      </c>
      <c r="J88">
        <v>3.6</v>
      </c>
      <c r="K88" t="s">
        <v>23</v>
      </c>
      <c r="L88">
        <v>5</v>
      </c>
      <c r="M88" t="str">
        <f t="shared" si="3"/>
        <v>May</v>
      </c>
      <c r="N88">
        <v>2025</v>
      </c>
      <c r="O88">
        <f t="shared" si="4"/>
        <v>5751.9</v>
      </c>
      <c r="P88">
        <f t="shared" si="5"/>
        <v>2465.1000000000004</v>
      </c>
    </row>
    <row r="89" spans="1:16">
      <c r="A89">
        <v>88</v>
      </c>
      <c r="B89" t="s">
        <v>58</v>
      </c>
      <c r="C89" t="s">
        <v>118</v>
      </c>
      <c r="D89" t="s">
        <v>30</v>
      </c>
      <c r="E89" t="s">
        <v>33</v>
      </c>
      <c r="F89" t="s">
        <v>22</v>
      </c>
      <c r="G89">
        <v>1315</v>
      </c>
      <c r="H89">
        <v>9</v>
      </c>
      <c r="I89">
        <v>11835</v>
      </c>
      <c r="J89">
        <v>4.2</v>
      </c>
      <c r="K89" t="s">
        <v>18</v>
      </c>
      <c r="L89">
        <v>9</v>
      </c>
      <c r="M89" t="str">
        <f t="shared" si="3"/>
        <v>September</v>
      </c>
      <c r="N89">
        <v>2025</v>
      </c>
      <c r="O89">
        <f t="shared" si="4"/>
        <v>8284.5</v>
      </c>
      <c r="P89">
        <f t="shared" si="5"/>
        <v>3550.5</v>
      </c>
    </row>
    <row r="90" spans="1:16">
      <c r="A90">
        <v>89</v>
      </c>
      <c r="B90" t="s">
        <v>44</v>
      </c>
      <c r="C90" t="s">
        <v>51</v>
      </c>
      <c r="D90" t="s">
        <v>30</v>
      </c>
      <c r="E90" t="s">
        <v>16</v>
      </c>
      <c r="F90" t="s">
        <v>17</v>
      </c>
      <c r="G90">
        <v>1167</v>
      </c>
      <c r="H90">
        <v>13</v>
      </c>
      <c r="I90">
        <v>15171</v>
      </c>
      <c r="J90">
        <v>3.5</v>
      </c>
      <c r="K90" t="s">
        <v>23</v>
      </c>
      <c r="L90">
        <v>6</v>
      </c>
      <c r="M90" t="str">
        <f t="shared" si="3"/>
        <v>June</v>
      </c>
      <c r="N90">
        <v>2025</v>
      </c>
      <c r="O90">
        <f t="shared" si="4"/>
        <v>10619.699999999999</v>
      </c>
      <c r="P90">
        <f t="shared" si="5"/>
        <v>4551.3000000000011</v>
      </c>
    </row>
    <row r="91" spans="1:16">
      <c r="A91">
        <v>90</v>
      </c>
      <c r="B91" t="s">
        <v>55</v>
      </c>
      <c r="C91" t="s">
        <v>119</v>
      </c>
      <c r="D91" t="s">
        <v>32</v>
      </c>
      <c r="E91" t="s">
        <v>43</v>
      </c>
      <c r="F91" t="s">
        <v>34</v>
      </c>
      <c r="G91">
        <v>1002</v>
      </c>
      <c r="H91">
        <v>3</v>
      </c>
      <c r="I91">
        <v>3006</v>
      </c>
      <c r="J91">
        <v>3.4</v>
      </c>
      <c r="K91" t="s">
        <v>23</v>
      </c>
      <c r="L91">
        <v>5</v>
      </c>
      <c r="M91" t="str">
        <f t="shared" si="3"/>
        <v>May</v>
      </c>
      <c r="N91">
        <v>2025</v>
      </c>
      <c r="O91">
        <f t="shared" si="4"/>
        <v>2104.1999999999998</v>
      </c>
      <c r="P91">
        <f t="shared" si="5"/>
        <v>901.80000000000018</v>
      </c>
    </row>
    <row r="92" spans="1:16">
      <c r="A92">
        <v>91</v>
      </c>
      <c r="B92" t="s">
        <v>64</v>
      </c>
      <c r="C92" t="s">
        <v>102</v>
      </c>
      <c r="D92" t="s">
        <v>30</v>
      </c>
      <c r="E92" t="s">
        <v>50</v>
      </c>
      <c r="F92" t="s">
        <v>17</v>
      </c>
      <c r="G92">
        <v>790</v>
      </c>
      <c r="H92">
        <v>16</v>
      </c>
      <c r="I92">
        <v>12640</v>
      </c>
      <c r="J92">
        <v>3.2</v>
      </c>
      <c r="K92" t="s">
        <v>23</v>
      </c>
      <c r="L92">
        <v>6</v>
      </c>
      <c r="M92" t="str">
        <f t="shared" si="3"/>
        <v>June</v>
      </c>
      <c r="N92">
        <v>2025</v>
      </c>
      <c r="O92">
        <f t="shared" si="4"/>
        <v>8848</v>
      </c>
      <c r="P92">
        <f t="shared" si="5"/>
        <v>3792</v>
      </c>
    </row>
    <row r="93" spans="1:16">
      <c r="A93">
        <v>92</v>
      </c>
      <c r="B93" t="s">
        <v>19</v>
      </c>
      <c r="C93" t="s">
        <v>120</v>
      </c>
      <c r="D93" t="s">
        <v>30</v>
      </c>
      <c r="E93" t="s">
        <v>16</v>
      </c>
      <c r="F93" t="s">
        <v>34</v>
      </c>
      <c r="G93">
        <v>1335</v>
      </c>
      <c r="H93">
        <v>6</v>
      </c>
      <c r="I93">
        <v>8010</v>
      </c>
      <c r="J93">
        <v>4.7</v>
      </c>
      <c r="K93" t="s">
        <v>18</v>
      </c>
      <c r="L93">
        <v>4</v>
      </c>
      <c r="M93" t="str">
        <f t="shared" si="3"/>
        <v>April</v>
      </c>
      <c r="N93">
        <v>2025</v>
      </c>
      <c r="O93">
        <f t="shared" si="4"/>
        <v>5607</v>
      </c>
      <c r="P93">
        <f t="shared" si="5"/>
        <v>2403</v>
      </c>
    </row>
    <row r="94" spans="1:16">
      <c r="A94">
        <v>93</v>
      </c>
      <c r="B94" t="s">
        <v>40</v>
      </c>
      <c r="C94" t="s">
        <v>74</v>
      </c>
      <c r="D94" t="s">
        <v>26</v>
      </c>
      <c r="E94" t="s">
        <v>16</v>
      </c>
      <c r="F94" t="s">
        <v>17</v>
      </c>
      <c r="G94">
        <v>866</v>
      </c>
      <c r="H94">
        <v>12</v>
      </c>
      <c r="I94">
        <v>10392</v>
      </c>
      <c r="J94">
        <v>3.6</v>
      </c>
      <c r="K94" t="s">
        <v>47</v>
      </c>
      <c r="L94">
        <v>6</v>
      </c>
      <c r="M94" t="str">
        <f t="shared" si="3"/>
        <v>June</v>
      </c>
      <c r="N94">
        <v>2025</v>
      </c>
      <c r="O94">
        <f t="shared" si="4"/>
        <v>7274.4</v>
      </c>
      <c r="P94">
        <f t="shared" si="5"/>
        <v>3117.6000000000004</v>
      </c>
    </row>
    <row r="95" spans="1:16">
      <c r="A95">
        <v>94</v>
      </c>
      <c r="B95" t="s">
        <v>69</v>
      </c>
      <c r="C95" t="s">
        <v>121</v>
      </c>
      <c r="D95" t="s">
        <v>32</v>
      </c>
      <c r="E95" t="s">
        <v>33</v>
      </c>
      <c r="F95" t="s">
        <v>39</v>
      </c>
      <c r="G95">
        <v>1443</v>
      </c>
      <c r="H95">
        <v>1</v>
      </c>
      <c r="I95">
        <v>1443</v>
      </c>
      <c r="J95">
        <v>4.2</v>
      </c>
      <c r="K95" t="s">
        <v>35</v>
      </c>
      <c r="L95">
        <v>7</v>
      </c>
      <c r="M95" t="str">
        <f t="shared" si="3"/>
        <v>July</v>
      </c>
      <c r="N95">
        <v>2025</v>
      </c>
      <c r="O95">
        <f t="shared" si="4"/>
        <v>1010.0999999999999</v>
      </c>
      <c r="P95">
        <f t="shared" si="5"/>
        <v>432.90000000000009</v>
      </c>
    </row>
    <row r="96" spans="1:16">
      <c r="A96">
        <v>95</v>
      </c>
      <c r="B96" t="s">
        <v>13</v>
      </c>
      <c r="C96" t="s">
        <v>52</v>
      </c>
      <c r="D96" t="s">
        <v>57</v>
      </c>
      <c r="E96" t="s">
        <v>16</v>
      </c>
      <c r="F96" t="s">
        <v>39</v>
      </c>
      <c r="G96">
        <v>992</v>
      </c>
      <c r="H96">
        <v>17</v>
      </c>
      <c r="I96">
        <v>16864</v>
      </c>
      <c r="J96">
        <v>4.5999999999999996</v>
      </c>
      <c r="K96" t="s">
        <v>18</v>
      </c>
      <c r="L96">
        <v>10</v>
      </c>
      <c r="M96" t="str">
        <f t="shared" si="3"/>
        <v>October</v>
      </c>
      <c r="N96">
        <v>2025</v>
      </c>
      <c r="O96">
        <f t="shared" si="4"/>
        <v>11804.8</v>
      </c>
      <c r="P96">
        <f t="shared" si="5"/>
        <v>5059.2000000000007</v>
      </c>
    </row>
    <row r="97" spans="1:16">
      <c r="A97">
        <v>96</v>
      </c>
      <c r="B97" t="s">
        <v>19</v>
      </c>
      <c r="C97" t="s">
        <v>122</v>
      </c>
      <c r="D97" t="s">
        <v>57</v>
      </c>
      <c r="E97" t="s">
        <v>43</v>
      </c>
      <c r="F97" t="s">
        <v>22</v>
      </c>
      <c r="G97">
        <v>332</v>
      </c>
      <c r="H97">
        <v>16</v>
      </c>
      <c r="I97">
        <v>5312</v>
      </c>
      <c r="J97">
        <v>4.8</v>
      </c>
      <c r="K97" t="s">
        <v>28</v>
      </c>
      <c r="L97">
        <v>12</v>
      </c>
      <c r="M97" t="str">
        <f t="shared" si="3"/>
        <v>December</v>
      </c>
      <c r="N97">
        <v>2025</v>
      </c>
      <c r="O97">
        <f t="shared" si="4"/>
        <v>3718.3999999999996</v>
      </c>
      <c r="P97">
        <f t="shared" si="5"/>
        <v>1593.6000000000004</v>
      </c>
    </row>
    <row r="98" spans="1:16">
      <c r="A98">
        <v>97</v>
      </c>
      <c r="B98" t="s">
        <v>44</v>
      </c>
      <c r="C98" t="s">
        <v>123</v>
      </c>
      <c r="D98" t="s">
        <v>57</v>
      </c>
      <c r="E98" t="s">
        <v>33</v>
      </c>
      <c r="F98" t="s">
        <v>27</v>
      </c>
      <c r="G98">
        <v>1382</v>
      </c>
      <c r="H98">
        <v>12</v>
      </c>
      <c r="I98">
        <v>16584</v>
      </c>
      <c r="J98">
        <v>4.7</v>
      </c>
      <c r="K98" t="s">
        <v>18</v>
      </c>
      <c r="L98">
        <v>1</v>
      </c>
      <c r="M98" t="str">
        <f t="shared" si="3"/>
        <v>January</v>
      </c>
      <c r="N98">
        <v>2025</v>
      </c>
      <c r="O98">
        <f t="shared" si="4"/>
        <v>11608.8</v>
      </c>
      <c r="P98">
        <f t="shared" si="5"/>
        <v>4975.2000000000007</v>
      </c>
    </row>
    <row r="99" spans="1:16">
      <c r="A99">
        <v>98</v>
      </c>
      <c r="B99" t="s">
        <v>58</v>
      </c>
      <c r="C99" t="s">
        <v>124</v>
      </c>
      <c r="D99" t="s">
        <v>30</v>
      </c>
      <c r="E99" t="s">
        <v>43</v>
      </c>
      <c r="F99" t="s">
        <v>27</v>
      </c>
      <c r="G99">
        <v>414</v>
      </c>
      <c r="H99">
        <v>20</v>
      </c>
      <c r="I99">
        <v>8280</v>
      </c>
      <c r="J99">
        <v>4.4000000000000004</v>
      </c>
      <c r="K99" t="s">
        <v>28</v>
      </c>
      <c r="L99">
        <v>4</v>
      </c>
      <c r="M99" t="str">
        <f t="shared" si="3"/>
        <v>April</v>
      </c>
      <c r="N99">
        <v>2025</v>
      </c>
      <c r="O99">
        <f t="shared" si="4"/>
        <v>5796</v>
      </c>
      <c r="P99">
        <f t="shared" si="5"/>
        <v>2484</v>
      </c>
    </row>
    <row r="100" spans="1:16">
      <c r="A100">
        <v>99</v>
      </c>
      <c r="B100" t="s">
        <v>69</v>
      </c>
      <c r="C100" t="s">
        <v>125</v>
      </c>
      <c r="D100" t="s">
        <v>15</v>
      </c>
      <c r="E100" t="s">
        <v>16</v>
      </c>
      <c r="F100" t="s">
        <v>63</v>
      </c>
      <c r="G100">
        <v>383</v>
      </c>
      <c r="H100">
        <v>12</v>
      </c>
      <c r="I100">
        <v>4596</v>
      </c>
      <c r="J100">
        <v>4.8</v>
      </c>
      <c r="K100" t="s">
        <v>47</v>
      </c>
      <c r="L100">
        <v>7</v>
      </c>
      <c r="M100" t="str">
        <f t="shared" si="3"/>
        <v>July</v>
      </c>
      <c r="N100">
        <v>2025</v>
      </c>
      <c r="O100">
        <f t="shared" si="4"/>
        <v>3217.2</v>
      </c>
      <c r="P100">
        <f t="shared" si="5"/>
        <v>1378.8000000000002</v>
      </c>
    </row>
    <row r="101" spans="1:16">
      <c r="A101">
        <v>100</v>
      </c>
      <c r="B101" t="s">
        <v>55</v>
      </c>
      <c r="C101" t="s">
        <v>97</v>
      </c>
      <c r="D101" t="s">
        <v>32</v>
      </c>
      <c r="E101" t="s">
        <v>16</v>
      </c>
      <c r="F101" t="s">
        <v>39</v>
      </c>
      <c r="G101">
        <v>1120</v>
      </c>
      <c r="H101">
        <v>10</v>
      </c>
      <c r="I101">
        <v>11200</v>
      </c>
      <c r="J101">
        <v>3.4</v>
      </c>
      <c r="K101" t="s">
        <v>28</v>
      </c>
      <c r="L101">
        <v>3</v>
      </c>
      <c r="M101" t="str">
        <f t="shared" si="3"/>
        <v>March</v>
      </c>
      <c r="N101">
        <v>2025</v>
      </c>
      <c r="O101">
        <f t="shared" si="4"/>
        <v>7839.9999999999991</v>
      </c>
      <c r="P101">
        <f t="shared" si="5"/>
        <v>3360.0000000000009</v>
      </c>
    </row>
    <row r="102" spans="1:16">
      <c r="A102">
        <v>101</v>
      </c>
      <c r="B102" t="s">
        <v>58</v>
      </c>
      <c r="C102" t="s">
        <v>59</v>
      </c>
      <c r="D102" t="s">
        <v>30</v>
      </c>
      <c r="E102" t="s">
        <v>50</v>
      </c>
      <c r="F102" t="s">
        <v>63</v>
      </c>
      <c r="G102">
        <v>1255</v>
      </c>
      <c r="H102">
        <v>2</v>
      </c>
      <c r="I102">
        <v>2510</v>
      </c>
      <c r="J102">
        <v>3.9</v>
      </c>
      <c r="K102" t="s">
        <v>18</v>
      </c>
      <c r="L102">
        <v>3</v>
      </c>
      <c r="M102" t="str">
        <f t="shared" si="3"/>
        <v>March</v>
      </c>
      <c r="N102">
        <v>2025</v>
      </c>
      <c r="O102">
        <f t="shared" si="4"/>
        <v>1757</v>
      </c>
      <c r="P102">
        <f t="shared" si="5"/>
        <v>753</v>
      </c>
    </row>
    <row r="103" spans="1:16">
      <c r="A103">
        <v>102</v>
      </c>
      <c r="B103" t="s">
        <v>55</v>
      </c>
      <c r="C103" t="s">
        <v>81</v>
      </c>
      <c r="D103" t="s">
        <v>38</v>
      </c>
      <c r="E103" t="s">
        <v>43</v>
      </c>
      <c r="F103" t="s">
        <v>34</v>
      </c>
      <c r="G103">
        <v>704</v>
      </c>
      <c r="H103">
        <v>8</v>
      </c>
      <c r="I103">
        <v>5632</v>
      </c>
      <c r="J103">
        <v>4.8</v>
      </c>
      <c r="K103" t="s">
        <v>47</v>
      </c>
      <c r="L103">
        <v>4</v>
      </c>
      <c r="M103" t="str">
        <f t="shared" si="3"/>
        <v>April</v>
      </c>
      <c r="N103">
        <v>2025</v>
      </c>
      <c r="O103">
        <f t="shared" si="4"/>
        <v>3942.3999999999996</v>
      </c>
      <c r="P103">
        <f t="shared" si="5"/>
        <v>1689.6000000000004</v>
      </c>
    </row>
    <row r="104" spans="1:16">
      <c r="A104">
        <v>103</v>
      </c>
      <c r="B104" t="s">
        <v>19</v>
      </c>
      <c r="C104" t="s">
        <v>126</v>
      </c>
      <c r="D104" t="s">
        <v>60</v>
      </c>
      <c r="E104" t="s">
        <v>43</v>
      </c>
      <c r="F104" t="s">
        <v>27</v>
      </c>
      <c r="G104">
        <v>878</v>
      </c>
      <c r="H104">
        <v>7</v>
      </c>
      <c r="I104">
        <v>6146</v>
      </c>
      <c r="J104">
        <v>4.2</v>
      </c>
      <c r="K104" t="s">
        <v>23</v>
      </c>
      <c r="L104">
        <v>4</v>
      </c>
      <c r="M104" t="str">
        <f t="shared" si="3"/>
        <v>April</v>
      </c>
      <c r="N104">
        <v>2025</v>
      </c>
      <c r="O104">
        <f t="shared" si="4"/>
        <v>4302.2</v>
      </c>
      <c r="P104">
        <f t="shared" si="5"/>
        <v>1843.8000000000002</v>
      </c>
    </row>
    <row r="105" spans="1:16">
      <c r="A105">
        <v>104</v>
      </c>
      <c r="B105" t="s">
        <v>36</v>
      </c>
      <c r="C105" t="s">
        <v>127</v>
      </c>
      <c r="D105" t="s">
        <v>26</v>
      </c>
      <c r="E105" t="s">
        <v>50</v>
      </c>
      <c r="F105" t="s">
        <v>17</v>
      </c>
      <c r="G105">
        <v>772</v>
      </c>
      <c r="H105">
        <v>10</v>
      </c>
      <c r="I105">
        <v>7720</v>
      </c>
      <c r="J105">
        <v>3.9</v>
      </c>
      <c r="K105" t="s">
        <v>23</v>
      </c>
      <c r="L105">
        <v>8</v>
      </c>
      <c r="M105" t="str">
        <f t="shared" si="3"/>
        <v>August</v>
      </c>
      <c r="N105">
        <v>2025</v>
      </c>
      <c r="O105">
        <f t="shared" si="4"/>
        <v>5404</v>
      </c>
      <c r="P105">
        <f t="shared" si="5"/>
        <v>2316</v>
      </c>
    </row>
    <row r="106" spans="1:16">
      <c r="A106">
        <v>105</v>
      </c>
      <c r="B106" t="s">
        <v>24</v>
      </c>
      <c r="C106" t="s">
        <v>108</v>
      </c>
      <c r="D106" t="s">
        <v>42</v>
      </c>
      <c r="E106" t="s">
        <v>16</v>
      </c>
      <c r="F106" t="s">
        <v>34</v>
      </c>
      <c r="G106">
        <v>415</v>
      </c>
      <c r="H106">
        <v>12</v>
      </c>
      <c r="I106">
        <v>4980</v>
      </c>
      <c r="J106">
        <v>3.1</v>
      </c>
      <c r="K106" t="s">
        <v>18</v>
      </c>
      <c r="L106">
        <v>9</v>
      </c>
      <c r="M106" t="str">
        <f t="shared" si="3"/>
        <v>September</v>
      </c>
      <c r="N106">
        <v>2025</v>
      </c>
      <c r="O106">
        <f t="shared" si="4"/>
        <v>3486</v>
      </c>
      <c r="P106">
        <f t="shared" si="5"/>
        <v>1494</v>
      </c>
    </row>
    <row r="107" spans="1:16">
      <c r="A107">
        <v>106</v>
      </c>
      <c r="B107" t="s">
        <v>40</v>
      </c>
      <c r="C107" t="s">
        <v>128</v>
      </c>
      <c r="D107" t="s">
        <v>76</v>
      </c>
      <c r="E107" t="s">
        <v>43</v>
      </c>
      <c r="F107" t="s">
        <v>17</v>
      </c>
      <c r="G107">
        <v>782</v>
      </c>
      <c r="H107">
        <v>13</v>
      </c>
      <c r="I107">
        <v>10166</v>
      </c>
      <c r="J107">
        <v>3.7</v>
      </c>
      <c r="K107" t="s">
        <v>28</v>
      </c>
      <c r="L107">
        <v>7</v>
      </c>
      <c r="M107" t="str">
        <f t="shared" si="3"/>
        <v>July</v>
      </c>
      <c r="N107">
        <v>2025</v>
      </c>
      <c r="O107">
        <f t="shared" si="4"/>
        <v>7116.2</v>
      </c>
      <c r="P107">
        <f t="shared" si="5"/>
        <v>3049.8</v>
      </c>
    </row>
    <row r="108" spans="1:16">
      <c r="A108">
        <v>107</v>
      </c>
      <c r="B108" t="s">
        <v>55</v>
      </c>
      <c r="C108" t="s">
        <v>100</v>
      </c>
      <c r="D108" t="s">
        <v>76</v>
      </c>
      <c r="E108" t="s">
        <v>50</v>
      </c>
      <c r="F108" t="s">
        <v>22</v>
      </c>
      <c r="G108">
        <v>412</v>
      </c>
      <c r="H108">
        <v>19</v>
      </c>
      <c r="I108">
        <v>7828</v>
      </c>
      <c r="J108">
        <v>3.6</v>
      </c>
      <c r="K108" t="s">
        <v>18</v>
      </c>
      <c r="L108">
        <v>6</v>
      </c>
      <c r="M108" t="str">
        <f t="shared" si="3"/>
        <v>June</v>
      </c>
      <c r="N108">
        <v>2025</v>
      </c>
      <c r="O108">
        <f t="shared" si="4"/>
        <v>5479.5999999999995</v>
      </c>
      <c r="P108">
        <f t="shared" si="5"/>
        <v>2348.4000000000005</v>
      </c>
    </row>
    <row r="109" spans="1:16">
      <c r="A109">
        <v>108</v>
      </c>
      <c r="B109" t="s">
        <v>19</v>
      </c>
      <c r="C109" t="s">
        <v>20</v>
      </c>
      <c r="D109" t="s">
        <v>42</v>
      </c>
      <c r="E109" t="s">
        <v>50</v>
      </c>
      <c r="F109" t="s">
        <v>22</v>
      </c>
      <c r="G109">
        <v>1481</v>
      </c>
      <c r="H109">
        <v>10</v>
      </c>
      <c r="I109">
        <v>14810</v>
      </c>
      <c r="J109">
        <v>3</v>
      </c>
      <c r="K109" t="s">
        <v>18</v>
      </c>
      <c r="L109">
        <v>2</v>
      </c>
      <c r="M109" t="str">
        <f t="shared" si="3"/>
        <v>February</v>
      </c>
      <c r="N109">
        <v>2025</v>
      </c>
      <c r="O109">
        <f t="shared" si="4"/>
        <v>10367</v>
      </c>
      <c r="P109">
        <f t="shared" si="5"/>
        <v>4443</v>
      </c>
    </row>
    <row r="110" spans="1:16">
      <c r="A110">
        <v>109</v>
      </c>
      <c r="B110" t="s">
        <v>36</v>
      </c>
      <c r="C110" t="s">
        <v>129</v>
      </c>
      <c r="D110" t="s">
        <v>60</v>
      </c>
      <c r="E110" t="s">
        <v>43</v>
      </c>
      <c r="F110" t="s">
        <v>63</v>
      </c>
      <c r="G110">
        <v>838</v>
      </c>
      <c r="H110">
        <v>2</v>
      </c>
      <c r="I110">
        <v>1676</v>
      </c>
      <c r="J110">
        <v>4.5999999999999996</v>
      </c>
      <c r="K110" t="s">
        <v>35</v>
      </c>
      <c r="L110">
        <v>1</v>
      </c>
      <c r="M110" t="str">
        <f t="shared" si="3"/>
        <v>January</v>
      </c>
      <c r="N110">
        <v>2025</v>
      </c>
      <c r="O110">
        <f t="shared" si="4"/>
        <v>1173.1999999999998</v>
      </c>
      <c r="P110">
        <f t="shared" si="5"/>
        <v>502.80000000000018</v>
      </c>
    </row>
    <row r="111" spans="1:16">
      <c r="A111">
        <v>110</v>
      </c>
      <c r="B111" t="s">
        <v>19</v>
      </c>
      <c r="C111" t="s">
        <v>130</v>
      </c>
      <c r="D111" t="s">
        <v>21</v>
      </c>
      <c r="E111" t="s">
        <v>16</v>
      </c>
      <c r="F111" t="s">
        <v>39</v>
      </c>
      <c r="G111">
        <v>471</v>
      </c>
      <c r="H111">
        <v>9</v>
      </c>
      <c r="I111">
        <v>4239</v>
      </c>
      <c r="J111">
        <v>4.5999999999999996</v>
      </c>
      <c r="K111" t="s">
        <v>28</v>
      </c>
      <c r="L111">
        <v>7</v>
      </c>
      <c r="M111" t="str">
        <f t="shared" si="3"/>
        <v>July</v>
      </c>
      <c r="N111">
        <v>2025</v>
      </c>
      <c r="O111">
        <f t="shared" si="4"/>
        <v>2967.2999999999997</v>
      </c>
      <c r="P111">
        <f t="shared" si="5"/>
        <v>1271.7000000000003</v>
      </c>
    </row>
    <row r="112" spans="1:16">
      <c r="A112">
        <v>111</v>
      </c>
      <c r="B112" t="s">
        <v>69</v>
      </c>
      <c r="C112" t="s">
        <v>83</v>
      </c>
      <c r="D112" t="s">
        <v>32</v>
      </c>
      <c r="E112" t="s">
        <v>43</v>
      </c>
      <c r="F112" t="s">
        <v>22</v>
      </c>
      <c r="G112">
        <v>1440</v>
      </c>
      <c r="H112">
        <v>19</v>
      </c>
      <c r="I112">
        <v>27360</v>
      </c>
      <c r="J112">
        <v>5</v>
      </c>
      <c r="K112" t="s">
        <v>47</v>
      </c>
      <c r="L112">
        <v>5</v>
      </c>
      <c r="M112" t="str">
        <f t="shared" si="3"/>
        <v>May</v>
      </c>
      <c r="N112">
        <v>2025</v>
      </c>
      <c r="O112">
        <f t="shared" si="4"/>
        <v>19152</v>
      </c>
      <c r="P112">
        <f t="shared" si="5"/>
        <v>8208</v>
      </c>
    </row>
    <row r="113" spans="1:16">
      <c r="A113">
        <v>112</v>
      </c>
      <c r="B113" t="s">
        <v>19</v>
      </c>
      <c r="C113" t="s">
        <v>78</v>
      </c>
      <c r="D113" t="s">
        <v>42</v>
      </c>
      <c r="E113" t="s">
        <v>33</v>
      </c>
      <c r="F113" t="s">
        <v>22</v>
      </c>
      <c r="G113">
        <v>858</v>
      </c>
      <c r="H113">
        <v>12</v>
      </c>
      <c r="I113">
        <v>10296</v>
      </c>
      <c r="J113">
        <v>4.2</v>
      </c>
      <c r="K113" t="s">
        <v>23</v>
      </c>
      <c r="L113">
        <v>6</v>
      </c>
      <c r="M113" t="str">
        <f t="shared" si="3"/>
        <v>June</v>
      </c>
      <c r="N113">
        <v>2025</v>
      </c>
      <c r="O113">
        <f t="shared" si="4"/>
        <v>7207.2</v>
      </c>
      <c r="P113">
        <f t="shared" si="5"/>
        <v>3088.8</v>
      </c>
    </row>
    <row r="114" spans="1:16">
      <c r="A114">
        <v>113</v>
      </c>
      <c r="B114" t="s">
        <v>69</v>
      </c>
      <c r="C114" t="s">
        <v>131</v>
      </c>
      <c r="D114" t="s">
        <v>30</v>
      </c>
      <c r="E114" t="s">
        <v>50</v>
      </c>
      <c r="F114" t="s">
        <v>39</v>
      </c>
      <c r="G114">
        <v>507</v>
      </c>
      <c r="H114">
        <v>12</v>
      </c>
      <c r="I114">
        <v>6084</v>
      </c>
      <c r="J114">
        <v>4</v>
      </c>
      <c r="K114" t="s">
        <v>28</v>
      </c>
      <c r="L114">
        <v>11</v>
      </c>
      <c r="M114" t="str">
        <f t="shared" si="3"/>
        <v>November</v>
      </c>
      <c r="N114">
        <v>2025</v>
      </c>
      <c r="O114">
        <f t="shared" si="4"/>
        <v>4258.8</v>
      </c>
      <c r="P114">
        <f t="shared" si="5"/>
        <v>1825.1999999999998</v>
      </c>
    </row>
    <row r="115" spans="1:16">
      <c r="A115">
        <v>114</v>
      </c>
      <c r="B115" t="s">
        <v>44</v>
      </c>
      <c r="C115" t="s">
        <v>132</v>
      </c>
      <c r="D115" t="s">
        <v>42</v>
      </c>
      <c r="E115" t="s">
        <v>50</v>
      </c>
      <c r="F115" t="s">
        <v>39</v>
      </c>
      <c r="G115">
        <v>572</v>
      </c>
      <c r="H115">
        <v>17</v>
      </c>
      <c r="I115">
        <v>9724</v>
      </c>
      <c r="J115">
        <v>4</v>
      </c>
      <c r="K115" t="s">
        <v>35</v>
      </c>
      <c r="L115">
        <v>7</v>
      </c>
      <c r="M115" t="str">
        <f t="shared" si="3"/>
        <v>July</v>
      </c>
      <c r="N115">
        <v>2025</v>
      </c>
      <c r="O115">
        <f t="shared" si="4"/>
        <v>6806.7999999999993</v>
      </c>
      <c r="P115">
        <f t="shared" si="5"/>
        <v>2917.2000000000007</v>
      </c>
    </row>
    <row r="116" spans="1:16">
      <c r="A116">
        <v>115</v>
      </c>
      <c r="B116" t="s">
        <v>13</v>
      </c>
      <c r="C116" t="s">
        <v>87</v>
      </c>
      <c r="D116" t="s">
        <v>60</v>
      </c>
      <c r="E116" t="s">
        <v>50</v>
      </c>
      <c r="F116" t="s">
        <v>34</v>
      </c>
      <c r="G116">
        <v>1346</v>
      </c>
      <c r="H116">
        <v>3</v>
      </c>
      <c r="I116">
        <v>4038</v>
      </c>
      <c r="J116">
        <v>3.7</v>
      </c>
      <c r="K116" t="s">
        <v>18</v>
      </c>
      <c r="L116">
        <v>2</v>
      </c>
      <c r="M116" t="str">
        <f t="shared" si="3"/>
        <v>February</v>
      </c>
      <c r="N116">
        <v>2025</v>
      </c>
      <c r="O116">
        <f t="shared" si="4"/>
        <v>2826.6</v>
      </c>
      <c r="P116">
        <f t="shared" si="5"/>
        <v>1211.4000000000001</v>
      </c>
    </row>
    <row r="117" spans="1:16">
      <c r="A117">
        <v>116</v>
      </c>
      <c r="B117" t="s">
        <v>36</v>
      </c>
      <c r="C117" t="s">
        <v>54</v>
      </c>
      <c r="D117" t="s">
        <v>26</v>
      </c>
      <c r="E117" t="s">
        <v>43</v>
      </c>
      <c r="F117" t="s">
        <v>39</v>
      </c>
      <c r="G117">
        <v>825</v>
      </c>
      <c r="H117">
        <v>9</v>
      </c>
      <c r="I117">
        <v>7425</v>
      </c>
      <c r="J117">
        <v>3.9</v>
      </c>
      <c r="K117" t="s">
        <v>28</v>
      </c>
      <c r="L117">
        <v>6</v>
      </c>
      <c r="M117" t="str">
        <f t="shared" si="3"/>
        <v>June</v>
      </c>
      <c r="N117">
        <v>2025</v>
      </c>
      <c r="O117">
        <f t="shared" si="4"/>
        <v>5197.5</v>
      </c>
      <c r="P117">
        <f t="shared" si="5"/>
        <v>2227.5</v>
      </c>
    </row>
    <row r="118" spans="1:16">
      <c r="A118">
        <v>117</v>
      </c>
      <c r="B118" t="s">
        <v>24</v>
      </c>
      <c r="C118" t="s">
        <v>133</v>
      </c>
      <c r="D118" t="s">
        <v>42</v>
      </c>
      <c r="E118" t="s">
        <v>43</v>
      </c>
      <c r="F118" t="s">
        <v>39</v>
      </c>
      <c r="G118">
        <v>445</v>
      </c>
      <c r="H118">
        <v>14</v>
      </c>
      <c r="I118">
        <v>6230</v>
      </c>
      <c r="J118">
        <v>3.9</v>
      </c>
      <c r="K118" t="s">
        <v>35</v>
      </c>
      <c r="L118">
        <v>8</v>
      </c>
      <c r="M118" t="str">
        <f t="shared" si="3"/>
        <v>August</v>
      </c>
      <c r="N118">
        <v>2025</v>
      </c>
      <c r="O118">
        <f t="shared" si="4"/>
        <v>4361</v>
      </c>
      <c r="P118">
        <f t="shared" si="5"/>
        <v>1869</v>
      </c>
    </row>
    <row r="119" spans="1:16">
      <c r="A119">
        <v>118</v>
      </c>
      <c r="B119" t="s">
        <v>24</v>
      </c>
      <c r="C119" t="s">
        <v>134</v>
      </c>
      <c r="D119" t="s">
        <v>26</v>
      </c>
      <c r="E119" t="s">
        <v>33</v>
      </c>
      <c r="F119" t="s">
        <v>27</v>
      </c>
      <c r="G119">
        <v>1463</v>
      </c>
      <c r="H119">
        <v>1</v>
      </c>
      <c r="I119">
        <v>1463</v>
      </c>
      <c r="J119">
        <v>4.3</v>
      </c>
      <c r="K119" t="s">
        <v>28</v>
      </c>
      <c r="L119">
        <v>10</v>
      </c>
      <c r="M119" t="str">
        <f t="shared" si="3"/>
        <v>October</v>
      </c>
      <c r="N119">
        <v>2025</v>
      </c>
      <c r="O119">
        <f t="shared" si="4"/>
        <v>1024.0999999999999</v>
      </c>
      <c r="P119">
        <f t="shared" si="5"/>
        <v>438.90000000000009</v>
      </c>
    </row>
    <row r="120" spans="1:16">
      <c r="A120">
        <v>119</v>
      </c>
      <c r="B120" t="s">
        <v>36</v>
      </c>
      <c r="C120" t="s">
        <v>135</v>
      </c>
      <c r="D120" t="s">
        <v>38</v>
      </c>
      <c r="E120" t="s">
        <v>43</v>
      </c>
      <c r="F120" t="s">
        <v>22</v>
      </c>
      <c r="G120">
        <v>1205</v>
      </c>
      <c r="H120">
        <v>3</v>
      </c>
      <c r="I120">
        <v>3615</v>
      </c>
      <c r="J120">
        <v>3.4</v>
      </c>
      <c r="K120" t="s">
        <v>18</v>
      </c>
      <c r="L120">
        <v>1</v>
      </c>
      <c r="M120" t="str">
        <f t="shared" si="3"/>
        <v>January</v>
      </c>
      <c r="N120">
        <v>2025</v>
      </c>
      <c r="O120">
        <f t="shared" si="4"/>
        <v>2530.5</v>
      </c>
      <c r="P120">
        <f t="shared" si="5"/>
        <v>1084.5</v>
      </c>
    </row>
    <row r="121" spans="1:16">
      <c r="A121">
        <v>120</v>
      </c>
      <c r="B121" t="s">
        <v>40</v>
      </c>
      <c r="C121" t="s">
        <v>95</v>
      </c>
      <c r="D121" t="s">
        <v>60</v>
      </c>
      <c r="E121" t="s">
        <v>16</v>
      </c>
      <c r="F121" t="s">
        <v>39</v>
      </c>
      <c r="G121">
        <v>723</v>
      </c>
      <c r="H121">
        <v>9</v>
      </c>
      <c r="I121">
        <v>6507</v>
      </c>
      <c r="J121">
        <v>3.6</v>
      </c>
      <c r="K121" t="s">
        <v>18</v>
      </c>
      <c r="L121">
        <v>7</v>
      </c>
      <c r="M121" t="str">
        <f t="shared" si="3"/>
        <v>July</v>
      </c>
      <c r="N121">
        <v>2025</v>
      </c>
      <c r="O121">
        <f t="shared" si="4"/>
        <v>4554.8999999999996</v>
      </c>
      <c r="P121">
        <f t="shared" si="5"/>
        <v>1952.1000000000004</v>
      </c>
    </row>
    <row r="122" spans="1:16">
      <c r="A122">
        <v>121</v>
      </c>
      <c r="B122" t="s">
        <v>19</v>
      </c>
      <c r="C122" t="s">
        <v>120</v>
      </c>
      <c r="D122" t="s">
        <v>76</v>
      </c>
      <c r="E122" t="s">
        <v>16</v>
      </c>
      <c r="F122" t="s">
        <v>17</v>
      </c>
      <c r="G122">
        <v>1235</v>
      </c>
      <c r="H122">
        <v>6</v>
      </c>
      <c r="I122">
        <v>7410</v>
      </c>
      <c r="J122">
        <v>4.7</v>
      </c>
      <c r="K122" t="s">
        <v>47</v>
      </c>
      <c r="L122">
        <v>11</v>
      </c>
      <c r="M122" t="str">
        <f t="shared" si="3"/>
        <v>November</v>
      </c>
      <c r="N122">
        <v>2025</v>
      </c>
      <c r="O122">
        <f t="shared" si="4"/>
        <v>5187</v>
      </c>
      <c r="P122">
        <f t="shared" si="5"/>
        <v>2223</v>
      </c>
    </row>
    <row r="123" spans="1:16">
      <c r="A123">
        <v>122</v>
      </c>
      <c r="B123" t="s">
        <v>55</v>
      </c>
      <c r="C123" t="s">
        <v>84</v>
      </c>
      <c r="D123" t="s">
        <v>76</v>
      </c>
      <c r="E123" t="s">
        <v>43</v>
      </c>
      <c r="F123" t="s">
        <v>34</v>
      </c>
      <c r="G123">
        <v>1274</v>
      </c>
      <c r="H123">
        <v>11</v>
      </c>
      <c r="I123">
        <v>14014</v>
      </c>
      <c r="J123">
        <v>3.4</v>
      </c>
      <c r="K123" t="s">
        <v>28</v>
      </c>
      <c r="L123">
        <v>7</v>
      </c>
      <c r="M123" t="str">
        <f t="shared" si="3"/>
        <v>July</v>
      </c>
      <c r="N123">
        <v>2025</v>
      </c>
      <c r="O123">
        <f t="shared" si="4"/>
        <v>9809.7999999999993</v>
      </c>
      <c r="P123">
        <f t="shared" si="5"/>
        <v>4204.2000000000007</v>
      </c>
    </row>
    <row r="124" spans="1:16">
      <c r="A124">
        <v>123</v>
      </c>
      <c r="B124" t="s">
        <v>19</v>
      </c>
      <c r="C124" t="s">
        <v>20</v>
      </c>
      <c r="D124" t="s">
        <v>76</v>
      </c>
      <c r="E124" t="s">
        <v>50</v>
      </c>
      <c r="F124" t="s">
        <v>63</v>
      </c>
      <c r="G124">
        <v>1310</v>
      </c>
      <c r="H124">
        <v>15</v>
      </c>
      <c r="I124">
        <v>19650</v>
      </c>
      <c r="J124">
        <v>4.5999999999999996</v>
      </c>
      <c r="K124" t="s">
        <v>23</v>
      </c>
      <c r="L124">
        <v>3</v>
      </c>
      <c r="M124" t="str">
        <f t="shared" si="3"/>
        <v>March</v>
      </c>
      <c r="N124">
        <v>2025</v>
      </c>
      <c r="O124">
        <f t="shared" si="4"/>
        <v>13755</v>
      </c>
      <c r="P124">
        <f t="shared" si="5"/>
        <v>5895</v>
      </c>
    </row>
    <row r="125" spans="1:16">
      <c r="A125">
        <v>124</v>
      </c>
      <c r="B125" t="s">
        <v>44</v>
      </c>
      <c r="C125" t="s">
        <v>136</v>
      </c>
      <c r="D125" t="s">
        <v>57</v>
      </c>
      <c r="E125" t="s">
        <v>50</v>
      </c>
      <c r="F125" t="s">
        <v>34</v>
      </c>
      <c r="G125">
        <v>1374</v>
      </c>
      <c r="H125">
        <v>3</v>
      </c>
      <c r="I125">
        <v>4122</v>
      </c>
      <c r="J125">
        <v>4.5</v>
      </c>
      <c r="K125" t="s">
        <v>23</v>
      </c>
      <c r="L125">
        <v>3</v>
      </c>
      <c r="M125" t="str">
        <f t="shared" si="3"/>
        <v>March</v>
      </c>
      <c r="N125">
        <v>2025</v>
      </c>
      <c r="O125">
        <f t="shared" si="4"/>
        <v>2885.3999999999996</v>
      </c>
      <c r="P125">
        <f t="shared" si="5"/>
        <v>1236.6000000000004</v>
      </c>
    </row>
    <row r="126" spans="1:16">
      <c r="A126">
        <v>125</v>
      </c>
      <c r="B126" t="s">
        <v>58</v>
      </c>
      <c r="C126" t="s">
        <v>137</v>
      </c>
      <c r="D126" t="s">
        <v>76</v>
      </c>
      <c r="E126" t="s">
        <v>50</v>
      </c>
      <c r="F126" t="s">
        <v>63</v>
      </c>
      <c r="G126">
        <v>918</v>
      </c>
      <c r="H126">
        <v>20</v>
      </c>
      <c r="I126">
        <v>18360</v>
      </c>
      <c r="J126">
        <v>3.7</v>
      </c>
      <c r="K126" t="s">
        <v>18</v>
      </c>
      <c r="L126">
        <v>12</v>
      </c>
      <c r="M126" t="str">
        <f t="shared" si="3"/>
        <v>December</v>
      </c>
      <c r="N126">
        <v>2025</v>
      </c>
      <c r="O126">
        <f t="shared" si="4"/>
        <v>12852</v>
      </c>
      <c r="P126">
        <f t="shared" si="5"/>
        <v>5508</v>
      </c>
    </row>
    <row r="127" spans="1:16">
      <c r="A127">
        <v>126</v>
      </c>
      <c r="B127" t="s">
        <v>40</v>
      </c>
      <c r="C127" t="s">
        <v>138</v>
      </c>
      <c r="D127" t="s">
        <v>21</v>
      </c>
      <c r="E127" t="s">
        <v>43</v>
      </c>
      <c r="F127" t="s">
        <v>17</v>
      </c>
      <c r="G127">
        <v>966</v>
      </c>
      <c r="H127">
        <v>6</v>
      </c>
      <c r="I127">
        <v>5796</v>
      </c>
      <c r="J127">
        <v>3.2</v>
      </c>
      <c r="K127" t="s">
        <v>23</v>
      </c>
      <c r="L127">
        <v>5</v>
      </c>
      <c r="M127" t="str">
        <f t="shared" si="3"/>
        <v>May</v>
      </c>
      <c r="N127">
        <v>2025</v>
      </c>
      <c r="O127">
        <f t="shared" si="4"/>
        <v>4057.2</v>
      </c>
      <c r="P127">
        <f t="shared" si="5"/>
        <v>1738.8000000000002</v>
      </c>
    </row>
    <row r="128" spans="1:16">
      <c r="A128">
        <v>127</v>
      </c>
      <c r="B128" t="s">
        <v>36</v>
      </c>
      <c r="C128" t="s">
        <v>139</v>
      </c>
      <c r="D128" t="s">
        <v>42</v>
      </c>
      <c r="E128" t="s">
        <v>33</v>
      </c>
      <c r="F128" t="s">
        <v>27</v>
      </c>
      <c r="G128">
        <v>501</v>
      </c>
      <c r="H128">
        <v>2</v>
      </c>
      <c r="I128">
        <v>1002</v>
      </c>
      <c r="J128">
        <v>4.3</v>
      </c>
      <c r="K128" t="s">
        <v>23</v>
      </c>
      <c r="L128">
        <v>4</v>
      </c>
      <c r="M128" t="str">
        <f t="shared" si="3"/>
        <v>April</v>
      </c>
      <c r="N128">
        <v>2025</v>
      </c>
      <c r="O128">
        <f t="shared" si="4"/>
        <v>701.4</v>
      </c>
      <c r="P128">
        <f t="shared" si="5"/>
        <v>300.60000000000002</v>
      </c>
    </row>
    <row r="129" spans="1:16">
      <c r="A129">
        <v>128</v>
      </c>
      <c r="B129" t="s">
        <v>64</v>
      </c>
      <c r="C129" t="s">
        <v>140</v>
      </c>
      <c r="D129" t="s">
        <v>60</v>
      </c>
      <c r="E129" t="s">
        <v>43</v>
      </c>
      <c r="F129" t="s">
        <v>22</v>
      </c>
      <c r="G129">
        <v>1224</v>
      </c>
      <c r="H129">
        <v>20</v>
      </c>
      <c r="I129">
        <v>24480</v>
      </c>
      <c r="J129">
        <v>3.5</v>
      </c>
      <c r="K129" t="s">
        <v>18</v>
      </c>
      <c r="L129">
        <v>10</v>
      </c>
      <c r="M129" t="str">
        <f t="shared" si="3"/>
        <v>October</v>
      </c>
      <c r="N129">
        <v>2025</v>
      </c>
      <c r="O129">
        <f t="shared" si="4"/>
        <v>17136</v>
      </c>
      <c r="P129">
        <f t="shared" si="5"/>
        <v>7344</v>
      </c>
    </row>
    <row r="130" spans="1:16">
      <c r="A130">
        <v>129</v>
      </c>
      <c r="B130" t="s">
        <v>55</v>
      </c>
      <c r="C130" t="s">
        <v>141</v>
      </c>
      <c r="D130" t="s">
        <v>21</v>
      </c>
      <c r="E130" t="s">
        <v>33</v>
      </c>
      <c r="F130" t="s">
        <v>17</v>
      </c>
      <c r="G130">
        <v>1489</v>
      </c>
      <c r="H130">
        <v>16</v>
      </c>
      <c r="I130">
        <v>23824</v>
      </c>
      <c r="J130">
        <v>3.3</v>
      </c>
      <c r="K130" t="s">
        <v>18</v>
      </c>
      <c r="L130">
        <v>3</v>
      </c>
      <c r="M130" t="str">
        <f t="shared" si="3"/>
        <v>March</v>
      </c>
      <c r="N130">
        <v>2025</v>
      </c>
      <c r="O130">
        <f t="shared" si="4"/>
        <v>16676.8</v>
      </c>
      <c r="P130">
        <f t="shared" si="5"/>
        <v>7147.2000000000007</v>
      </c>
    </row>
    <row r="131" spans="1:16">
      <c r="A131">
        <v>130</v>
      </c>
      <c r="B131" t="s">
        <v>55</v>
      </c>
      <c r="C131" t="s">
        <v>142</v>
      </c>
      <c r="D131" t="s">
        <v>32</v>
      </c>
      <c r="E131" t="s">
        <v>16</v>
      </c>
      <c r="F131" t="s">
        <v>39</v>
      </c>
      <c r="G131">
        <v>1403</v>
      </c>
      <c r="H131">
        <v>17</v>
      </c>
      <c r="I131">
        <v>23851</v>
      </c>
      <c r="J131">
        <v>3.4</v>
      </c>
      <c r="K131" t="s">
        <v>23</v>
      </c>
      <c r="L131">
        <v>6</v>
      </c>
      <c r="M131" t="str">
        <f t="shared" ref="M131:M194" si="6">TEXT(DATE(2025, L131, 1), "mmmm")</f>
        <v>June</v>
      </c>
      <c r="N131">
        <v>2025</v>
      </c>
      <c r="O131">
        <f t="shared" ref="O131:O194" si="7">I131*0.7</f>
        <v>16695.7</v>
      </c>
      <c r="P131">
        <f t="shared" ref="P131:P194" si="8">I131-O131</f>
        <v>7155.2999999999993</v>
      </c>
    </row>
    <row r="132" spans="1:16">
      <c r="A132">
        <v>131</v>
      </c>
      <c r="B132" t="s">
        <v>69</v>
      </c>
      <c r="C132" t="s">
        <v>143</v>
      </c>
      <c r="D132" t="s">
        <v>15</v>
      </c>
      <c r="E132" t="s">
        <v>16</v>
      </c>
      <c r="F132" t="s">
        <v>39</v>
      </c>
      <c r="G132">
        <v>1088</v>
      </c>
      <c r="H132">
        <v>7</v>
      </c>
      <c r="I132">
        <v>7616</v>
      </c>
      <c r="J132">
        <v>3.6</v>
      </c>
      <c r="K132" t="s">
        <v>35</v>
      </c>
      <c r="L132">
        <v>3</v>
      </c>
      <c r="M132" t="str">
        <f t="shared" si="6"/>
        <v>March</v>
      </c>
      <c r="N132">
        <v>2025</v>
      </c>
      <c r="O132">
        <f t="shared" si="7"/>
        <v>5331.2</v>
      </c>
      <c r="P132">
        <f t="shared" si="8"/>
        <v>2284.8000000000002</v>
      </c>
    </row>
    <row r="133" spans="1:16">
      <c r="A133">
        <v>132</v>
      </c>
      <c r="B133" t="s">
        <v>19</v>
      </c>
      <c r="C133" t="s">
        <v>122</v>
      </c>
      <c r="D133" t="s">
        <v>76</v>
      </c>
      <c r="E133" t="s">
        <v>50</v>
      </c>
      <c r="F133" t="s">
        <v>22</v>
      </c>
      <c r="G133">
        <v>579</v>
      </c>
      <c r="H133">
        <v>7</v>
      </c>
      <c r="I133">
        <v>4053</v>
      </c>
      <c r="J133">
        <v>3.8</v>
      </c>
      <c r="K133" t="s">
        <v>35</v>
      </c>
      <c r="L133">
        <v>1</v>
      </c>
      <c r="M133" t="str">
        <f t="shared" si="6"/>
        <v>January</v>
      </c>
      <c r="N133">
        <v>2025</v>
      </c>
      <c r="O133">
        <f t="shared" si="7"/>
        <v>2837.1</v>
      </c>
      <c r="P133">
        <f t="shared" si="8"/>
        <v>1215.9000000000001</v>
      </c>
    </row>
    <row r="134" spans="1:16">
      <c r="A134">
        <v>133</v>
      </c>
      <c r="B134" t="s">
        <v>69</v>
      </c>
      <c r="C134" t="s">
        <v>131</v>
      </c>
      <c r="D134" t="s">
        <v>21</v>
      </c>
      <c r="E134" t="s">
        <v>43</v>
      </c>
      <c r="F134" t="s">
        <v>17</v>
      </c>
      <c r="G134">
        <v>707</v>
      </c>
      <c r="H134">
        <v>18</v>
      </c>
      <c r="I134">
        <v>12726</v>
      </c>
      <c r="J134">
        <v>3.4</v>
      </c>
      <c r="K134" t="s">
        <v>35</v>
      </c>
      <c r="L134">
        <v>5</v>
      </c>
      <c r="M134" t="str">
        <f t="shared" si="6"/>
        <v>May</v>
      </c>
      <c r="N134">
        <v>2025</v>
      </c>
      <c r="O134">
        <f t="shared" si="7"/>
        <v>8908.1999999999989</v>
      </c>
      <c r="P134">
        <f t="shared" si="8"/>
        <v>3817.8000000000011</v>
      </c>
    </row>
    <row r="135" spans="1:16">
      <c r="A135">
        <v>134</v>
      </c>
      <c r="B135" t="s">
        <v>58</v>
      </c>
      <c r="C135" t="s">
        <v>144</v>
      </c>
      <c r="D135" t="s">
        <v>38</v>
      </c>
      <c r="E135" t="s">
        <v>16</v>
      </c>
      <c r="F135" t="s">
        <v>63</v>
      </c>
      <c r="G135">
        <v>1137</v>
      </c>
      <c r="H135">
        <v>2</v>
      </c>
      <c r="I135">
        <v>2274</v>
      </c>
      <c r="J135">
        <v>3.1</v>
      </c>
      <c r="K135" t="s">
        <v>23</v>
      </c>
      <c r="L135">
        <v>4</v>
      </c>
      <c r="M135" t="str">
        <f t="shared" si="6"/>
        <v>April</v>
      </c>
      <c r="N135">
        <v>2025</v>
      </c>
      <c r="O135">
        <f t="shared" si="7"/>
        <v>1591.8</v>
      </c>
      <c r="P135">
        <f t="shared" si="8"/>
        <v>682.2</v>
      </c>
    </row>
    <row r="136" spans="1:16">
      <c r="A136">
        <v>135</v>
      </c>
      <c r="B136" t="s">
        <v>13</v>
      </c>
      <c r="C136" t="s">
        <v>145</v>
      </c>
      <c r="D136" t="s">
        <v>42</v>
      </c>
      <c r="E136" t="s">
        <v>43</v>
      </c>
      <c r="F136" t="s">
        <v>39</v>
      </c>
      <c r="G136">
        <v>388</v>
      </c>
      <c r="H136">
        <v>7</v>
      </c>
      <c r="I136">
        <v>2716</v>
      </c>
      <c r="J136">
        <v>3</v>
      </c>
      <c r="K136" t="s">
        <v>47</v>
      </c>
      <c r="L136">
        <v>1</v>
      </c>
      <c r="M136" t="str">
        <f t="shared" si="6"/>
        <v>January</v>
      </c>
      <c r="N136">
        <v>2025</v>
      </c>
      <c r="O136">
        <f t="shared" si="7"/>
        <v>1901.1999999999998</v>
      </c>
      <c r="P136">
        <f t="shared" si="8"/>
        <v>814.80000000000018</v>
      </c>
    </row>
    <row r="137" spans="1:16">
      <c r="A137">
        <v>136</v>
      </c>
      <c r="B137" t="s">
        <v>36</v>
      </c>
      <c r="C137" t="s">
        <v>146</v>
      </c>
      <c r="D137" t="s">
        <v>26</v>
      </c>
      <c r="E137" t="s">
        <v>43</v>
      </c>
      <c r="F137" t="s">
        <v>22</v>
      </c>
      <c r="G137">
        <v>612</v>
      </c>
      <c r="H137">
        <v>14</v>
      </c>
      <c r="I137">
        <v>8568</v>
      </c>
      <c r="J137">
        <v>4.9000000000000004</v>
      </c>
      <c r="K137" t="s">
        <v>23</v>
      </c>
      <c r="L137">
        <v>8</v>
      </c>
      <c r="M137" t="str">
        <f t="shared" si="6"/>
        <v>August</v>
      </c>
      <c r="N137">
        <v>2025</v>
      </c>
      <c r="O137">
        <f t="shared" si="7"/>
        <v>5997.5999999999995</v>
      </c>
      <c r="P137">
        <f t="shared" si="8"/>
        <v>2570.4000000000005</v>
      </c>
    </row>
    <row r="138" spans="1:16">
      <c r="A138">
        <v>137</v>
      </c>
      <c r="B138" t="s">
        <v>64</v>
      </c>
      <c r="C138" t="s">
        <v>147</v>
      </c>
      <c r="D138" t="s">
        <v>57</v>
      </c>
      <c r="E138" t="s">
        <v>43</v>
      </c>
      <c r="F138" t="s">
        <v>34</v>
      </c>
      <c r="G138">
        <v>1021</v>
      </c>
      <c r="H138">
        <v>20</v>
      </c>
      <c r="I138">
        <v>20420</v>
      </c>
      <c r="J138">
        <v>4.5</v>
      </c>
      <c r="K138" t="s">
        <v>23</v>
      </c>
      <c r="L138">
        <v>7</v>
      </c>
      <c r="M138" t="str">
        <f t="shared" si="6"/>
        <v>July</v>
      </c>
      <c r="N138">
        <v>2025</v>
      </c>
      <c r="O138">
        <f t="shared" si="7"/>
        <v>14294</v>
      </c>
      <c r="P138">
        <f t="shared" si="8"/>
        <v>6126</v>
      </c>
    </row>
    <row r="139" spans="1:16">
      <c r="A139">
        <v>138</v>
      </c>
      <c r="B139" t="s">
        <v>58</v>
      </c>
      <c r="C139" t="s">
        <v>148</v>
      </c>
      <c r="D139" t="s">
        <v>32</v>
      </c>
      <c r="E139" t="s">
        <v>16</v>
      </c>
      <c r="F139" t="s">
        <v>22</v>
      </c>
      <c r="G139">
        <v>503</v>
      </c>
      <c r="H139">
        <v>20</v>
      </c>
      <c r="I139">
        <v>10060</v>
      </c>
      <c r="J139">
        <v>3.4</v>
      </c>
      <c r="K139" t="s">
        <v>35</v>
      </c>
      <c r="L139">
        <v>11</v>
      </c>
      <c r="M139" t="str">
        <f t="shared" si="6"/>
        <v>November</v>
      </c>
      <c r="N139">
        <v>2025</v>
      </c>
      <c r="O139">
        <f t="shared" si="7"/>
        <v>7042</v>
      </c>
      <c r="P139">
        <f t="shared" si="8"/>
        <v>3018</v>
      </c>
    </row>
    <row r="140" spans="1:16">
      <c r="A140">
        <v>139</v>
      </c>
      <c r="B140" t="s">
        <v>44</v>
      </c>
      <c r="C140" t="s">
        <v>149</v>
      </c>
      <c r="D140" t="s">
        <v>76</v>
      </c>
      <c r="E140" t="s">
        <v>33</v>
      </c>
      <c r="F140" t="s">
        <v>17</v>
      </c>
      <c r="G140">
        <v>516</v>
      </c>
      <c r="H140">
        <v>8</v>
      </c>
      <c r="I140">
        <v>4128</v>
      </c>
      <c r="J140">
        <v>3.1</v>
      </c>
      <c r="K140" t="s">
        <v>18</v>
      </c>
      <c r="L140">
        <v>11</v>
      </c>
      <c r="M140" t="str">
        <f t="shared" si="6"/>
        <v>November</v>
      </c>
      <c r="N140">
        <v>2025</v>
      </c>
      <c r="O140">
        <f t="shared" si="7"/>
        <v>2889.6</v>
      </c>
      <c r="P140">
        <f t="shared" si="8"/>
        <v>1238.4000000000001</v>
      </c>
    </row>
    <row r="141" spans="1:16">
      <c r="A141">
        <v>140</v>
      </c>
      <c r="B141" t="s">
        <v>55</v>
      </c>
      <c r="C141" t="s">
        <v>119</v>
      </c>
      <c r="D141" t="s">
        <v>15</v>
      </c>
      <c r="E141" t="s">
        <v>33</v>
      </c>
      <c r="F141" t="s">
        <v>17</v>
      </c>
      <c r="G141">
        <v>1482</v>
      </c>
      <c r="H141">
        <v>10</v>
      </c>
      <c r="I141">
        <v>14820</v>
      </c>
      <c r="J141">
        <v>4.5999999999999996</v>
      </c>
      <c r="K141" t="s">
        <v>47</v>
      </c>
      <c r="L141">
        <v>6</v>
      </c>
      <c r="M141" t="str">
        <f t="shared" si="6"/>
        <v>June</v>
      </c>
      <c r="N141">
        <v>2025</v>
      </c>
      <c r="O141">
        <f t="shared" si="7"/>
        <v>10374</v>
      </c>
      <c r="P141">
        <f t="shared" si="8"/>
        <v>4446</v>
      </c>
    </row>
    <row r="142" spans="1:16">
      <c r="A142">
        <v>141</v>
      </c>
      <c r="B142" t="s">
        <v>64</v>
      </c>
      <c r="C142" t="s">
        <v>150</v>
      </c>
      <c r="D142" t="s">
        <v>21</v>
      </c>
      <c r="E142" t="s">
        <v>16</v>
      </c>
      <c r="F142" t="s">
        <v>39</v>
      </c>
      <c r="G142">
        <v>499</v>
      </c>
      <c r="H142">
        <v>8</v>
      </c>
      <c r="I142">
        <v>3992</v>
      </c>
      <c r="J142">
        <v>4.8</v>
      </c>
      <c r="K142" t="s">
        <v>35</v>
      </c>
      <c r="L142">
        <v>4</v>
      </c>
      <c r="M142" t="str">
        <f t="shared" si="6"/>
        <v>April</v>
      </c>
      <c r="N142">
        <v>2025</v>
      </c>
      <c r="O142">
        <f t="shared" si="7"/>
        <v>2794.3999999999996</v>
      </c>
      <c r="P142">
        <f t="shared" si="8"/>
        <v>1197.6000000000004</v>
      </c>
    </row>
    <row r="143" spans="1:16">
      <c r="A143">
        <v>142</v>
      </c>
      <c r="B143" t="s">
        <v>36</v>
      </c>
      <c r="C143" t="s">
        <v>151</v>
      </c>
      <c r="D143" t="s">
        <v>42</v>
      </c>
      <c r="E143" t="s">
        <v>43</v>
      </c>
      <c r="F143" t="s">
        <v>27</v>
      </c>
      <c r="G143">
        <v>458</v>
      </c>
      <c r="H143">
        <v>1</v>
      </c>
      <c r="I143">
        <v>458</v>
      </c>
      <c r="J143">
        <v>4.7</v>
      </c>
      <c r="K143" t="s">
        <v>23</v>
      </c>
      <c r="L143">
        <v>4</v>
      </c>
      <c r="M143" t="str">
        <f t="shared" si="6"/>
        <v>April</v>
      </c>
      <c r="N143">
        <v>2025</v>
      </c>
      <c r="O143">
        <f t="shared" si="7"/>
        <v>320.59999999999997</v>
      </c>
      <c r="P143">
        <f t="shared" si="8"/>
        <v>137.40000000000003</v>
      </c>
    </row>
    <row r="144" spans="1:16">
      <c r="A144">
        <v>143</v>
      </c>
      <c r="B144" t="s">
        <v>36</v>
      </c>
      <c r="C144" t="s">
        <v>151</v>
      </c>
      <c r="D144" t="s">
        <v>21</v>
      </c>
      <c r="E144" t="s">
        <v>33</v>
      </c>
      <c r="F144" t="s">
        <v>63</v>
      </c>
      <c r="G144">
        <v>494</v>
      </c>
      <c r="H144">
        <v>15</v>
      </c>
      <c r="I144">
        <v>7410</v>
      </c>
      <c r="J144">
        <v>3.9</v>
      </c>
      <c r="K144" t="s">
        <v>28</v>
      </c>
      <c r="L144">
        <v>2</v>
      </c>
      <c r="M144" t="str">
        <f t="shared" si="6"/>
        <v>February</v>
      </c>
      <c r="N144">
        <v>2025</v>
      </c>
      <c r="O144">
        <f t="shared" si="7"/>
        <v>5187</v>
      </c>
      <c r="P144">
        <f t="shared" si="8"/>
        <v>2223</v>
      </c>
    </row>
    <row r="145" spans="1:16">
      <c r="A145">
        <v>144</v>
      </c>
      <c r="B145" t="s">
        <v>13</v>
      </c>
      <c r="C145" t="s">
        <v>48</v>
      </c>
      <c r="D145" t="s">
        <v>60</v>
      </c>
      <c r="E145" t="s">
        <v>33</v>
      </c>
      <c r="F145" t="s">
        <v>17</v>
      </c>
      <c r="G145">
        <v>500</v>
      </c>
      <c r="H145">
        <v>3</v>
      </c>
      <c r="I145">
        <v>1500</v>
      </c>
      <c r="J145">
        <v>4.5999999999999996</v>
      </c>
      <c r="K145" t="s">
        <v>23</v>
      </c>
      <c r="L145">
        <v>7</v>
      </c>
      <c r="M145" t="str">
        <f t="shared" si="6"/>
        <v>July</v>
      </c>
      <c r="N145">
        <v>2025</v>
      </c>
      <c r="O145">
        <f t="shared" si="7"/>
        <v>1050</v>
      </c>
      <c r="P145">
        <f t="shared" si="8"/>
        <v>450</v>
      </c>
    </row>
    <row r="146" spans="1:16">
      <c r="A146">
        <v>145</v>
      </c>
      <c r="B146" t="s">
        <v>55</v>
      </c>
      <c r="C146" t="s">
        <v>97</v>
      </c>
      <c r="D146" t="s">
        <v>38</v>
      </c>
      <c r="E146" t="s">
        <v>43</v>
      </c>
      <c r="F146" t="s">
        <v>39</v>
      </c>
      <c r="G146">
        <v>1376</v>
      </c>
      <c r="H146">
        <v>2</v>
      </c>
      <c r="I146">
        <v>2752</v>
      </c>
      <c r="J146">
        <v>3.6</v>
      </c>
      <c r="K146" t="s">
        <v>18</v>
      </c>
      <c r="L146">
        <v>10</v>
      </c>
      <c r="M146" t="str">
        <f t="shared" si="6"/>
        <v>October</v>
      </c>
      <c r="N146">
        <v>2025</v>
      </c>
      <c r="O146">
        <f t="shared" si="7"/>
        <v>1926.3999999999999</v>
      </c>
      <c r="P146">
        <f t="shared" si="8"/>
        <v>825.60000000000014</v>
      </c>
    </row>
    <row r="147" spans="1:16">
      <c r="A147">
        <v>146</v>
      </c>
      <c r="B147" t="s">
        <v>58</v>
      </c>
      <c r="C147" t="s">
        <v>117</v>
      </c>
      <c r="D147" t="s">
        <v>21</v>
      </c>
      <c r="E147" t="s">
        <v>50</v>
      </c>
      <c r="F147" t="s">
        <v>34</v>
      </c>
      <c r="G147">
        <v>456</v>
      </c>
      <c r="H147">
        <v>20</v>
      </c>
      <c r="I147">
        <v>9120</v>
      </c>
      <c r="J147">
        <v>3.1</v>
      </c>
      <c r="K147" t="s">
        <v>47</v>
      </c>
      <c r="L147">
        <v>4</v>
      </c>
      <c r="M147" t="str">
        <f t="shared" si="6"/>
        <v>April</v>
      </c>
      <c r="N147">
        <v>2025</v>
      </c>
      <c r="O147">
        <f t="shared" si="7"/>
        <v>6384</v>
      </c>
      <c r="P147">
        <f t="shared" si="8"/>
        <v>2736</v>
      </c>
    </row>
    <row r="148" spans="1:16">
      <c r="A148">
        <v>147</v>
      </c>
      <c r="B148" t="s">
        <v>13</v>
      </c>
      <c r="C148" t="s">
        <v>14</v>
      </c>
      <c r="D148" t="s">
        <v>21</v>
      </c>
      <c r="E148" t="s">
        <v>16</v>
      </c>
      <c r="F148" t="s">
        <v>17</v>
      </c>
      <c r="G148">
        <v>655</v>
      </c>
      <c r="H148">
        <v>18</v>
      </c>
      <c r="I148">
        <v>11790</v>
      </c>
      <c r="J148">
        <v>4.9000000000000004</v>
      </c>
      <c r="K148" t="s">
        <v>28</v>
      </c>
      <c r="L148">
        <v>4</v>
      </c>
      <c r="M148" t="str">
        <f t="shared" si="6"/>
        <v>April</v>
      </c>
      <c r="N148">
        <v>2025</v>
      </c>
      <c r="O148">
        <f t="shared" si="7"/>
        <v>8253</v>
      </c>
      <c r="P148">
        <f t="shared" si="8"/>
        <v>3537</v>
      </c>
    </row>
    <row r="149" spans="1:16">
      <c r="A149">
        <v>148</v>
      </c>
      <c r="B149" t="s">
        <v>19</v>
      </c>
      <c r="C149" t="s">
        <v>72</v>
      </c>
      <c r="D149" t="s">
        <v>42</v>
      </c>
      <c r="E149" t="s">
        <v>43</v>
      </c>
      <c r="F149" t="s">
        <v>34</v>
      </c>
      <c r="G149">
        <v>354</v>
      </c>
      <c r="H149">
        <v>14</v>
      </c>
      <c r="I149">
        <v>4956</v>
      </c>
      <c r="J149">
        <v>4.4000000000000004</v>
      </c>
      <c r="K149" t="s">
        <v>47</v>
      </c>
      <c r="L149">
        <v>7</v>
      </c>
      <c r="M149" t="str">
        <f t="shared" si="6"/>
        <v>July</v>
      </c>
      <c r="N149">
        <v>2025</v>
      </c>
      <c r="O149">
        <f t="shared" si="7"/>
        <v>3469.2</v>
      </c>
      <c r="P149">
        <f t="shared" si="8"/>
        <v>1486.8000000000002</v>
      </c>
    </row>
    <row r="150" spans="1:16">
      <c r="A150">
        <v>149</v>
      </c>
      <c r="B150" t="s">
        <v>24</v>
      </c>
      <c r="C150" t="s">
        <v>152</v>
      </c>
      <c r="D150" t="s">
        <v>57</v>
      </c>
      <c r="E150" t="s">
        <v>50</v>
      </c>
      <c r="F150" t="s">
        <v>39</v>
      </c>
      <c r="G150">
        <v>812</v>
      </c>
      <c r="H150">
        <v>20</v>
      </c>
      <c r="I150">
        <v>16240</v>
      </c>
      <c r="J150">
        <v>4.5</v>
      </c>
      <c r="K150" t="s">
        <v>23</v>
      </c>
      <c r="L150">
        <v>10</v>
      </c>
      <c r="M150" t="str">
        <f t="shared" si="6"/>
        <v>October</v>
      </c>
      <c r="N150">
        <v>2025</v>
      </c>
      <c r="O150">
        <f t="shared" si="7"/>
        <v>11368</v>
      </c>
      <c r="P150">
        <f t="shared" si="8"/>
        <v>4872</v>
      </c>
    </row>
    <row r="151" spans="1:16">
      <c r="A151">
        <v>150</v>
      </c>
      <c r="B151" t="s">
        <v>58</v>
      </c>
      <c r="C151" t="s">
        <v>153</v>
      </c>
      <c r="D151" t="s">
        <v>15</v>
      </c>
      <c r="E151" t="s">
        <v>43</v>
      </c>
      <c r="F151" t="s">
        <v>17</v>
      </c>
      <c r="G151">
        <v>1118</v>
      </c>
      <c r="H151">
        <v>7</v>
      </c>
      <c r="I151">
        <v>7826</v>
      </c>
      <c r="J151">
        <v>4.7</v>
      </c>
      <c r="K151" t="s">
        <v>47</v>
      </c>
      <c r="L151">
        <v>5</v>
      </c>
      <c r="M151" t="str">
        <f t="shared" si="6"/>
        <v>May</v>
      </c>
      <c r="N151">
        <v>2025</v>
      </c>
      <c r="O151">
        <f t="shared" si="7"/>
        <v>5478.2</v>
      </c>
      <c r="P151">
        <f t="shared" si="8"/>
        <v>2347.8000000000002</v>
      </c>
    </row>
    <row r="152" spans="1:16">
      <c r="A152">
        <v>151</v>
      </c>
      <c r="B152" t="s">
        <v>69</v>
      </c>
      <c r="C152" t="s">
        <v>143</v>
      </c>
      <c r="D152" t="s">
        <v>30</v>
      </c>
      <c r="E152" t="s">
        <v>33</v>
      </c>
      <c r="F152" t="s">
        <v>17</v>
      </c>
      <c r="G152">
        <v>1457</v>
      </c>
      <c r="H152">
        <v>8</v>
      </c>
      <c r="I152">
        <v>11656</v>
      </c>
      <c r="J152">
        <v>3.4</v>
      </c>
      <c r="K152" t="s">
        <v>47</v>
      </c>
      <c r="L152">
        <v>11</v>
      </c>
      <c r="M152" t="str">
        <f t="shared" si="6"/>
        <v>November</v>
      </c>
      <c r="N152">
        <v>2025</v>
      </c>
      <c r="O152">
        <f t="shared" si="7"/>
        <v>8159.2</v>
      </c>
      <c r="P152">
        <f t="shared" si="8"/>
        <v>3496.8</v>
      </c>
    </row>
    <row r="153" spans="1:16">
      <c r="A153">
        <v>152</v>
      </c>
      <c r="B153" t="s">
        <v>24</v>
      </c>
      <c r="C153" t="s">
        <v>93</v>
      </c>
      <c r="D153" t="s">
        <v>30</v>
      </c>
      <c r="E153" t="s">
        <v>50</v>
      </c>
      <c r="F153" t="s">
        <v>39</v>
      </c>
      <c r="G153">
        <v>1014</v>
      </c>
      <c r="H153">
        <v>12</v>
      </c>
      <c r="I153">
        <v>12168</v>
      </c>
      <c r="J153">
        <v>4</v>
      </c>
      <c r="K153" t="s">
        <v>23</v>
      </c>
      <c r="L153">
        <v>12</v>
      </c>
      <c r="M153" t="str">
        <f t="shared" si="6"/>
        <v>December</v>
      </c>
      <c r="N153">
        <v>2025</v>
      </c>
      <c r="O153">
        <f t="shared" si="7"/>
        <v>8517.6</v>
      </c>
      <c r="P153">
        <f t="shared" si="8"/>
        <v>3650.3999999999996</v>
      </c>
    </row>
    <row r="154" spans="1:16">
      <c r="A154">
        <v>153</v>
      </c>
      <c r="B154" t="s">
        <v>44</v>
      </c>
      <c r="C154" t="s">
        <v>154</v>
      </c>
      <c r="D154" t="s">
        <v>26</v>
      </c>
      <c r="E154" t="s">
        <v>33</v>
      </c>
      <c r="F154" t="s">
        <v>22</v>
      </c>
      <c r="G154">
        <v>1057</v>
      </c>
      <c r="H154">
        <v>3</v>
      </c>
      <c r="I154">
        <v>3171</v>
      </c>
      <c r="J154">
        <v>4.9000000000000004</v>
      </c>
      <c r="K154" t="s">
        <v>23</v>
      </c>
      <c r="L154">
        <v>9</v>
      </c>
      <c r="M154" t="str">
        <f t="shared" si="6"/>
        <v>September</v>
      </c>
      <c r="N154">
        <v>2025</v>
      </c>
      <c r="O154">
        <f t="shared" si="7"/>
        <v>2219.6999999999998</v>
      </c>
      <c r="P154">
        <f t="shared" si="8"/>
        <v>951.30000000000018</v>
      </c>
    </row>
    <row r="155" spans="1:16">
      <c r="A155">
        <v>154</v>
      </c>
      <c r="B155" t="s">
        <v>55</v>
      </c>
      <c r="C155" t="s">
        <v>119</v>
      </c>
      <c r="D155" t="s">
        <v>32</v>
      </c>
      <c r="E155" t="s">
        <v>43</v>
      </c>
      <c r="F155" t="s">
        <v>17</v>
      </c>
      <c r="G155">
        <v>1203</v>
      </c>
      <c r="H155">
        <v>16</v>
      </c>
      <c r="I155">
        <v>19248</v>
      </c>
      <c r="J155">
        <v>3.1</v>
      </c>
      <c r="K155" t="s">
        <v>35</v>
      </c>
      <c r="L155">
        <v>6</v>
      </c>
      <c r="M155" t="str">
        <f t="shared" si="6"/>
        <v>June</v>
      </c>
      <c r="N155">
        <v>2025</v>
      </c>
      <c r="O155">
        <f t="shared" si="7"/>
        <v>13473.599999999999</v>
      </c>
      <c r="P155">
        <f t="shared" si="8"/>
        <v>5774.4000000000015</v>
      </c>
    </row>
    <row r="156" spans="1:16">
      <c r="A156">
        <v>155</v>
      </c>
      <c r="B156" t="s">
        <v>58</v>
      </c>
      <c r="C156" t="s">
        <v>153</v>
      </c>
      <c r="D156" t="s">
        <v>15</v>
      </c>
      <c r="E156" t="s">
        <v>43</v>
      </c>
      <c r="F156" t="s">
        <v>39</v>
      </c>
      <c r="G156">
        <v>1240</v>
      </c>
      <c r="H156">
        <v>2</v>
      </c>
      <c r="I156">
        <v>2480</v>
      </c>
      <c r="J156">
        <v>4.0999999999999996</v>
      </c>
      <c r="K156" t="s">
        <v>18</v>
      </c>
      <c r="L156">
        <v>8</v>
      </c>
      <c r="M156" t="str">
        <f t="shared" si="6"/>
        <v>August</v>
      </c>
      <c r="N156">
        <v>2025</v>
      </c>
      <c r="O156">
        <f t="shared" si="7"/>
        <v>1736</v>
      </c>
      <c r="P156">
        <f t="shared" si="8"/>
        <v>744</v>
      </c>
    </row>
    <row r="157" spans="1:16">
      <c r="A157">
        <v>156</v>
      </c>
      <c r="B157" t="s">
        <v>58</v>
      </c>
      <c r="C157" t="s">
        <v>117</v>
      </c>
      <c r="D157" t="s">
        <v>60</v>
      </c>
      <c r="E157" t="s">
        <v>33</v>
      </c>
      <c r="F157" t="s">
        <v>63</v>
      </c>
      <c r="G157">
        <v>419</v>
      </c>
      <c r="H157">
        <v>2</v>
      </c>
      <c r="I157">
        <v>838</v>
      </c>
      <c r="J157">
        <v>4.5</v>
      </c>
      <c r="K157" t="s">
        <v>35</v>
      </c>
      <c r="L157">
        <v>3</v>
      </c>
      <c r="M157" t="str">
        <f t="shared" si="6"/>
        <v>March</v>
      </c>
      <c r="N157">
        <v>2025</v>
      </c>
      <c r="O157">
        <f t="shared" si="7"/>
        <v>586.59999999999991</v>
      </c>
      <c r="P157">
        <f t="shared" si="8"/>
        <v>251.40000000000009</v>
      </c>
    </row>
    <row r="158" spans="1:16">
      <c r="A158">
        <v>157</v>
      </c>
      <c r="B158" t="s">
        <v>64</v>
      </c>
      <c r="C158" t="s">
        <v>155</v>
      </c>
      <c r="D158" t="s">
        <v>76</v>
      </c>
      <c r="E158" t="s">
        <v>33</v>
      </c>
      <c r="F158" t="s">
        <v>17</v>
      </c>
      <c r="G158">
        <v>524</v>
      </c>
      <c r="H158">
        <v>13</v>
      </c>
      <c r="I158">
        <v>6812</v>
      </c>
      <c r="J158">
        <v>3</v>
      </c>
      <c r="K158" t="s">
        <v>28</v>
      </c>
      <c r="L158">
        <v>11</v>
      </c>
      <c r="M158" t="str">
        <f t="shared" si="6"/>
        <v>November</v>
      </c>
      <c r="N158">
        <v>2025</v>
      </c>
      <c r="O158">
        <f t="shared" si="7"/>
        <v>4768.3999999999996</v>
      </c>
      <c r="P158">
        <f t="shared" si="8"/>
        <v>2043.6000000000004</v>
      </c>
    </row>
    <row r="159" spans="1:16">
      <c r="A159">
        <v>158</v>
      </c>
      <c r="B159" t="s">
        <v>19</v>
      </c>
      <c r="C159" t="s">
        <v>156</v>
      </c>
      <c r="D159" t="s">
        <v>76</v>
      </c>
      <c r="E159" t="s">
        <v>16</v>
      </c>
      <c r="F159" t="s">
        <v>34</v>
      </c>
      <c r="G159">
        <v>749</v>
      </c>
      <c r="H159">
        <v>3</v>
      </c>
      <c r="I159">
        <v>2247</v>
      </c>
      <c r="J159">
        <v>3.7</v>
      </c>
      <c r="K159" t="s">
        <v>18</v>
      </c>
      <c r="L159">
        <v>1</v>
      </c>
      <c r="M159" t="str">
        <f t="shared" si="6"/>
        <v>January</v>
      </c>
      <c r="N159">
        <v>2025</v>
      </c>
      <c r="O159">
        <f t="shared" si="7"/>
        <v>1572.8999999999999</v>
      </c>
      <c r="P159">
        <f t="shared" si="8"/>
        <v>674.10000000000014</v>
      </c>
    </row>
    <row r="160" spans="1:16">
      <c r="A160">
        <v>159</v>
      </c>
      <c r="B160" t="s">
        <v>19</v>
      </c>
      <c r="C160" t="s">
        <v>157</v>
      </c>
      <c r="D160" t="s">
        <v>38</v>
      </c>
      <c r="E160" t="s">
        <v>16</v>
      </c>
      <c r="F160" t="s">
        <v>17</v>
      </c>
      <c r="G160">
        <v>1014</v>
      </c>
      <c r="H160">
        <v>16</v>
      </c>
      <c r="I160">
        <v>16224</v>
      </c>
      <c r="J160">
        <v>3.9</v>
      </c>
      <c r="K160" t="s">
        <v>23</v>
      </c>
      <c r="L160">
        <v>11</v>
      </c>
      <c r="M160" t="str">
        <f t="shared" si="6"/>
        <v>November</v>
      </c>
      <c r="N160">
        <v>2025</v>
      </c>
      <c r="O160">
        <f t="shared" si="7"/>
        <v>11356.8</v>
      </c>
      <c r="P160">
        <f t="shared" si="8"/>
        <v>4867.2000000000007</v>
      </c>
    </row>
    <row r="161" spans="1:16">
      <c r="A161">
        <v>160</v>
      </c>
      <c r="B161" t="s">
        <v>19</v>
      </c>
      <c r="C161" t="s">
        <v>72</v>
      </c>
      <c r="D161" t="s">
        <v>76</v>
      </c>
      <c r="E161" t="s">
        <v>16</v>
      </c>
      <c r="F161" t="s">
        <v>63</v>
      </c>
      <c r="G161">
        <v>649</v>
      </c>
      <c r="H161">
        <v>12</v>
      </c>
      <c r="I161">
        <v>7788</v>
      </c>
      <c r="J161">
        <v>3.7</v>
      </c>
      <c r="K161" t="s">
        <v>35</v>
      </c>
      <c r="L161">
        <v>9</v>
      </c>
      <c r="M161" t="str">
        <f t="shared" si="6"/>
        <v>September</v>
      </c>
      <c r="N161">
        <v>2025</v>
      </c>
      <c r="O161">
        <f t="shared" si="7"/>
        <v>5451.5999999999995</v>
      </c>
      <c r="P161">
        <f t="shared" si="8"/>
        <v>2336.4000000000005</v>
      </c>
    </row>
    <row r="162" spans="1:16">
      <c r="A162">
        <v>161</v>
      </c>
      <c r="B162" t="s">
        <v>69</v>
      </c>
      <c r="C162" t="s">
        <v>131</v>
      </c>
      <c r="D162" t="s">
        <v>38</v>
      </c>
      <c r="E162" t="s">
        <v>43</v>
      </c>
      <c r="F162" t="s">
        <v>34</v>
      </c>
      <c r="G162">
        <v>570</v>
      </c>
      <c r="H162">
        <v>4</v>
      </c>
      <c r="I162">
        <v>2280</v>
      </c>
      <c r="J162">
        <v>3.4</v>
      </c>
      <c r="K162" t="s">
        <v>47</v>
      </c>
      <c r="L162">
        <v>4</v>
      </c>
      <c r="M162" t="str">
        <f t="shared" si="6"/>
        <v>April</v>
      </c>
      <c r="N162">
        <v>2025</v>
      </c>
      <c r="O162">
        <f t="shared" si="7"/>
        <v>1596</v>
      </c>
      <c r="P162">
        <f t="shared" si="8"/>
        <v>684</v>
      </c>
    </row>
    <row r="163" spans="1:16">
      <c r="A163">
        <v>162</v>
      </c>
      <c r="B163" t="s">
        <v>58</v>
      </c>
      <c r="C163" t="s">
        <v>158</v>
      </c>
      <c r="D163" t="s">
        <v>21</v>
      </c>
      <c r="E163" t="s">
        <v>43</v>
      </c>
      <c r="F163" t="s">
        <v>27</v>
      </c>
      <c r="G163">
        <v>1186</v>
      </c>
      <c r="H163">
        <v>14</v>
      </c>
      <c r="I163">
        <v>16604</v>
      </c>
      <c r="J163">
        <v>4.2</v>
      </c>
      <c r="K163" t="s">
        <v>28</v>
      </c>
      <c r="L163">
        <v>11</v>
      </c>
      <c r="M163" t="str">
        <f t="shared" si="6"/>
        <v>November</v>
      </c>
      <c r="N163">
        <v>2025</v>
      </c>
      <c r="O163">
        <f t="shared" si="7"/>
        <v>11622.8</v>
      </c>
      <c r="P163">
        <f t="shared" si="8"/>
        <v>4981.2000000000007</v>
      </c>
    </row>
    <row r="164" spans="1:16">
      <c r="A164">
        <v>163</v>
      </c>
      <c r="B164" t="s">
        <v>44</v>
      </c>
      <c r="C164" t="s">
        <v>159</v>
      </c>
      <c r="D164" t="s">
        <v>42</v>
      </c>
      <c r="E164" t="s">
        <v>16</v>
      </c>
      <c r="F164" t="s">
        <v>39</v>
      </c>
      <c r="G164">
        <v>588</v>
      </c>
      <c r="H164">
        <v>15</v>
      </c>
      <c r="I164">
        <v>8820</v>
      </c>
      <c r="J164">
        <v>3.8</v>
      </c>
      <c r="K164" t="s">
        <v>47</v>
      </c>
      <c r="L164">
        <v>4</v>
      </c>
      <c r="M164" t="str">
        <f t="shared" si="6"/>
        <v>April</v>
      </c>
      <c r="N164">
        <v>2025</v>
      </c>
      <c r="O164">
        <f t="shared" si="7"/>
        <v>6174</v>
      </c>
      <c r="P164">
        <f t="shared" si="8"/>
        <v>2646</v>
      </c>
    </row>
    <row r="165" spans="1:16">
      <c r="A165">
        <v>164</v>
      </c>
      <c r="B165" t="s">
        <v>55</v>
      </c>
      <c r="C165" t="s">
        <v>160</v>
      </c>
      <c r="D165" t="s">
        <v>30</v>
      </c>
      <c r="E165" t="s">
        <v>50</v>
      </c>
      <c r="F165" t="s">
        <v>17</v>
      </c>
      <c r="G165">
        <v>1443</v>
      </c>
      <c r="H165">
        <v>20</v>
      </c>
      <c r="I165">
        <v>28860</v>
      </c>
      <c r="J165">
        <v>3.5</v>
      </c>
      <c r="K165" t="s">
        <v>35</v>
      </c>
      <c r="L165">
        <v>3</v>
      </c>
      <c r="M165" t="str">
        <f t="shared" si="6"/>
        <v>March</v>
      </c>
      <c r="N165">
        <v>2025</v>
      </c>
      <c r="O165">
        <f t="shared" si="7"/>
        <v>20202</v>
      </c>
      <c r="P165">
        <f t="shared" si="8"/>
        <v>8658</v>
      </c>
    </row>
    <row r="166" spans="1:16">
      <c r="A166">
        <v>165</v>
      </c>
      <c r="B166" t="s">
        <v>13</v>
      </c>
      <c r="C166" t="s">
        <v>107</v>
      </c>
      <c r="D166" t="s">
        <v>60</v>
      </c>
      <c r="E166" t="s">
        <v>50</v>
      </c>
      <c r="F166" t="s">
        <v>27</v>
      </c>
      <c r="G166">
        <v>465</v>
      </c>
      <c r="H166">
        <v>5</v>
      </c>
      <c r="I166">
        <v>2325</v>
      </c>
      <c r="J166">
        <v>4</v>
      </c>
      <c r="K166" t="s">
        <v>28</v>
      </c>
      <c r="L166">
        <v>10</v>
      </c>
      <c r="M166" t="str">
        <f t="shared" si="6"/>
        <v>October</v>
      </c>
      <c r="N166">
        <v>2025</v>
      </c>
      <c r="O166">
        <f t="shared" si="7"/>
        <v>1627.5</v>
      </c>
      <c r="P166">
        <f t="shared" si="8"/>
        <v>697.5</v>
      </c>
    </row>
    <row r="167" spans="1:16">
      <c r="A167">
        <v>166</v>
      </c>
      <c r="B167" t="s">
        <v>13</v>
      </c>
      <c r="C167" t="s">
        <v>80</v>
      </c>
      <c r="D167" t="s">
        <v>60</v>
      </c>
      <c r="E167" t="s">
        <v>50</v>
      </c>
      <c r="F167" t="s">
        <v>17</v>
      </c>
      <c r="G167">
        <v>841</v>
      </c>
      <c r="H167">
        <v>12</v>
      </c>
      <c r="I167">
        <v>10092</v>
      </c>
      <c r="J167">
        <v>4.5999999999999996</v>
      </c>
      <c r="K167" t="s">
        <v>35</v>
      </c>
      <c r="L167">
        <v>1</v>
      </c>
      <c r="M167" t="str">
        <f t="shared" si="6"/>
        <v>January</v>
      </c>
      <c r="N167">
        <v>2025</v>
      </c>
      <c r="O167">
        <f t="shared" si="7"/>
        <v>7064.4</v>
      </c>
      <c r="P167">
        <f t="shared" si="8"/>
        <v>3027.6000000000004</v>
      </c>
    </row>
    <row r="168" spans="1:16">
      <c r="A168">
        <v>167</v>
      </c>
      <c r="B168" t="s">
        <v>58</v>
      </c>
      <c r="C168" t="s">
        <v>137</v>
      </c>
      <c r="D168" t="s">
        <v>15</v>
      </c>
      <c r="E168" t="s">
        <v>16</v>
      </c>
      <c r="F168" t="s">
        <v>39</v>
      </c>
      <c r="G168">
        <v>460</v>
      </c>
      <c r="H168">
        <v>12</v>
      </c>
      <c r="I168">
        <v>5520</v>
      </c>
      <c r="J168">
        <v>3.6</v>
      </c>
      <c r="K168" t="s">
        <v>18</v>
      </c>
      <c r="L168">
        <v>11</v>
      </c>
      <c r="M168" t="str">
        <f t="shared" si="6"/>
        <v>November</v>
      </c>
      <c r="N168">
        <v>2025</v>
      </c>
      <c r="O168">
        <f t="shared" si="7"/>
        <v>3863.9999999999995</v>
      </c>
      <c r="P168">
        <f t="shared" si="8"/>
        <v>1656.0000000000005</v>
      </c>
    </row>
    <row r="169" spans="1:16">
      <c r="A169">
        <v>168</v>
      </c>
      <c r="B169" t="s">
        <v>44</v>
      </c>
      <c r="C169" t="s">
        <v>114</v>
      </c>
      <c r="D169" t="s">
        <v>57</v>
      </c>
      <c r="E169" t="s">
        <v>16</v>
      </c>
      <c r="F169" t="s">
        <v>17</v>
      </c>
      <c r="G169">
        <v>1472</v>
      </c>
      <c r="H169">
        <v>4</v>
      </c>
      <c r="I169">
        <v>5888</v>
      </c>
      <c r="J169">
        <v>3.8</v>
      </c>
      <c r="K169" t="s">
        <v>18</v>
      </c>
      <c r="L169">
        <v>1</v>
      </c>
      <c r="M169" t="str">
        <f t="shared" si="6"/>
        <v>January</v>
      </c>
      <c r="N169">
        <v>2025</v>
      </c>
      <c r="O169">
        <f t="shared" si="7"/>
        <v>4121.5999999999995</v>
      </c>
      <c r="P169">
        <f t="shared" si="8"/>
        <v>1766.4000000000005</v>
      </c>
    </row>
    <row r="170" spans="1:16">
      <c r="A170">
        <v>169</v>
      </c>
      <c r="B170" t="s">
        <v>69</v>
      </c>
      <c r="C170" t="s">
        <v>104</v>
      </c>
      <c r="D170" t="s">
        <v>32</v>
      </c>
      <c r="E170" t="s">
        <v>43</v>
      </c>
      <c r="F170" t="s">
        <v>63</v>
      </c>
      <c r="G170">
        <v>378</v>
      </c>
      <c r="H170">
        <v>13</v>
      </c>
      <c r="I170">
        <v>4914</v>
      </c>
      <c r="J170">
        <v>3.2</v>
      </c>
      <c r="K170" t="s">
        <v>18</v>
      </c>
      <c r="L170">
        <v>3</v>
      </c>
      <c r="M170" t="str">
        <f t="shared" si="6"/>
        <v>March</v>
      </c>
      <c r="N170">
        <v>2025</v>
      </c>
      <c r="O170">
        <f t="shared" si="7"/>
        <v>3439.7999999999997</v>
      </c>
      <c r="P170">
        <f t="shared" si="8"/>
        <v>1474.2000000000003</v>
      </c>
    </row>
    <row r="171" spans="1:16">
      <c r="A171">
        <v>170</v>
      </c>
      <c r="B171" t="s">
        <v>36</v>
      </c>
      <c r="C171" t="s">
        <v>146</v>
      </c>
      <c r="D171" t="s">
        <v>60</v>
      </c>
      <c r="E171" t="s">
        <v>43</v>
      </c>
      <c r="F171" t="s">
        <v>27</v>
      </c>
      <c r="G171">
        <v>710</v>
      </c>
      <c r="H171">
        <v>7</v>
      </c>
      <c r="I171">
        <v>4970</v>
      </c>
      <c r="J171">
        <v>4.8</v>
      </c>
      <c r="K171" t="s">
        <v>18</v>
      </c>
      <c r="L171">
        <v>8</v>
      </c>
      <c r="M171" t="str">
        <f t="shared" si="6"/>
        <v>August</v>
      </c>
      <c r="N171">
        <v>2025</v>
      </c>
      <c r="O171">
        <f t="shared" si="7"/>
        <v>3479</v>
      </c>
      <c r="P171">
        <f t="shared" si="8"/>
        <v>1491</v>
      </c>
    </row>
    <row r="172" spans="1:16">
      <c r="A172">
        <v>171</v>
      </c>
      <c r="B172" t="s">
        <v>58</v>
      </c>
      <c r="C172" t="s">
        <v>118</v>
      </c>
      <c r="D172" t="s">
        <v>42</v>
      </c>
      <c r="E172" t="s">
        <v>50</v>
      </c>
      <c r="F172" t="s">
        <v>22</v>
      </c>
      <c r="G172">
        <v>903</v>
      </c>
      <c r="H172">
        <v>9</v>
      </c>
      <c r="I172">
        <v>8127</v>
      </c>
      <c r="J172">
        <v>4.3</v>
      </c>
      <c r="K172" t="s">
        <v>35</v>
      </c>
      <c r="L172">
        <v>11</v>
      </c>
      <c r="M172" t="str">
        <f t="shared" si="6"/>
        <v>November</v>
      </c>
      <c r="N172">
        <v>2025</v>
      </c>
      <c r="O172">
        <f t="shared" si="7"/>
        <v>5688.9</v>
      </c>
      <c r="P172">
        <f t="shared" si="8"/>
        <v>2438.1000000000004</v>
      </c>
    </row>
    <row r="173" spans="1:16">
      <c r="A173">
        <v>172</v>
      </c>
      <c r="B173" t="s">
        <v>44</v>
      </c>
      <c r="C173" t="s">
        <v>51</v>
      </c>
      <c r="D173" t="s">
        <v>76</v>
      </c>
      <c r="E173" t="s">
        <v>16</v>
      </c>
      <c r="F173" t="s">
        <v>63</v>
      </c>
      <c r="G173">
        <v>548</v>
      </c>
      <c r="H173">
        <v>17</v>
      </c>
      <c r="I173">
        <v>9316</v>
      </c>
      <c r="J173">
        <v>4.4000000000000004</v>
      </c>
      <c r="K173" t="s">
        <v>28</v>
      </c>
      <c r="L173">
        <v>8</v>
      </c>
      <c r="M173" t="str">
        <f t="shared" si="6"/>
        <v>August</v>
      </c>
      <c r="N173">
        <v>2025</v>
      </c>
      <c r="O173">
        <f t="shared" si="7"/>
        <v>6521.2</v>
      </c>
      <c r="P173">
        <f t="shared" si="8"/>
        <v>2794.8</v>
      </c>
    </row>
    <row r="174" spans="1:16">
      <c r="A174">
        <v>173</v>
      </c>
      <c r="B174" t="s">
        <v>40</v>
      </c>
      <c r="C174" t="s">
        <v>161</v>
      </c>
      <c r="D174" t="s">
        <v>32</v>
      </c>
      <c r="E174" t="s">
        <v>43</v>
      </c>
      <c r="F174" t="s">
        <v>27</v>
      </c>
      <c r="G174">
        <v>782</v>
      </c>
      <c r="H174">
        <v>12</v>
      </c>
      <c r="I174">
        <v>9384</v>
      </c>
      <c r="J174">
        <v>3.3</v>
      </c>
      <c r="K174" t="s">
        <v>23</v>
      </c>
      <c r="L174">
        <v>5</v>
      </c>
      <c r="M174" t="str">
        <f t="shared" si="6"/>
        <v>May</v>
      </c>
      <c r="N174">
        <v>2025</v>
      </c>
      <c r="O174">
        <f t="shared" si="7"/>
        <v>6568.7999999999993</v>
      </c>
      <c r="P174">
        <f t="shared" si="8"/>
        <v>2815.2000000000007</v>
      </c>
    </row>
    <row r="175" spans="1:16">
      <c r="A175">
        <v>174</v>
      </c>
      <c r="B175" t="s">
        <v>19</v>
      </c>
      <c r="C175" t="s">
        <v>162</v>
      </c>
      <c r="D175" t="s">
        <v>21</v>
      </c>
      <c r="E175" t="s">
        <v>43</v>
      </c>
      <c r="F175" t="s">
        <v>39</v>
      </c>
      <c r="G175">
        <v>675</v>
      </c>
      <c r="H175">
        <v>18</v>
      </c>
      <c r="I175">
        <v>12150</v>
      </c>
      <c r="J175">
        <v>4.7</v>
      </c>
      <c r="K175" t="s">
        <v>28</v>
      </c>
      <c r="L175">
        <v>7</v>
      </c>
      <c r="M175" t="str">
        <f t="shared" si="6"/>
        <v>July</v>
      </c>
      <c r="N175">
        <v>2025</v>
      </c>
      <c r="O175">
        <f t="shared" si="7"/>
        <v>8505</v>
      </c>
      <c r="P175">
        <f t="shared" si="8"/>
        <v>3645</v>
      </c>
    </row>
    <row r="176" spans="1:16">
      <c r="A176">
        <v>175</v>
      </c>
      <c r="B176" t="s">
        <v>58</v>
      </c>
      <c r="C176" t="s">
        <v>117</v>
      </c>
      <c r="D176" t="s">
        <v>38</v>
      </c>
      <c r="E176" t="s">
        <v>33</v>
      </c>
      <c r="F176" t="s">
        <v>22</v>
      </c>
      <c r="G176">
        <v>646</v>
      </c>
      <c r="H176">
        <v>19</v>
      </c>
      <c r="I176">
        <v>12274</v>
      </c>
      <c r="J176">
        <v>4.3</v>
      </c>
      <c r="K176" t="s">
        <v>18</v>
      </c>
      <c r="L176">
        <v>3</v>
      </c>
      <c r="M176" t="str">
        <f t="shared" si="6"/>
        <v>March</v>
      </c>
      <c r="N176">
        <v>2025</v>
      </c>
      <c r="O176">
        <f t="shared" si="7"/>
        <v>8591.7999999999993</v>
      </c>
      <c r="P176">
        <f t="shared" si="8"/>
        <v>3682.2000000000007</v>
      </c>
    </row>
    <row r="177" spans="1:16">
      <c r="A177">
        <v>176</v>
      </c>
      <c r="B177" t="s">
        <v>64</v>
      </c>
      <c r="C177" t="s">
        <v>163</v>
      </c>
      <c r="D177" t="s">
        <v>32</v>
      </c>
      <c r="E177" t="s">
        <v>16</v>
      </c>
      <c r="F177" t="s">
        <v>63</v>
      </c>
      <c r="G177">
        <v>1009</v>
      </c>
      <c r="H177">
        <v>3</v>
      </c>
      <c r="I177">
        <v>3027</v>
      </c>
      <c r="J177">
        <v>3.8</v>
      </c>
      <c r="K177" t="s">
        <v>23</v>
      </c>
      <c r="L177">
        <v>11</v>
      </c>
      <c r="M177" t="str">
        <f t="shared" si="6"/>
        <v>November</v>
      </c>
      <c r="N177">
        <v>2025</v>
      </c>
      <c r="O177">
        <f t="shared" si="7"/>
        <v>2118.9</v>
      </c>
      <c r="P177">
        <f t="shared" si="8"/>
        <v>908.09999999999991</v>
      </c>
    </row>
    <row r="178" spans="1:16">
      <c r="A178">
        <v>177</v>
      </c>
      <c r="B178" t="s">
        <v>40</v>
      </c>
      <c r="C178" t="s">
        <v>164</v>
      </c>
      <c r="D178" t="s">
        <v>76</v>
      </c>
      <c r="E178" t="s">
        <v>33</v>
      </c>
      <c r="F178" t="s">
        <v>17</v>
      </c>
      <c r="G178">
        <v>1388</v>
      </c>
      <c r="H178">
        <v>10</v>
      </c>
      <c r="I178">
        <v>13880</v>
      </c>
      <c r="J178">
        <v>4.4000000000000004</v>
      </c>
      <c r="K178" t="s">
        <v>18</v>
      </c>
      <c r="L178">
        <v>2</v>
      </c>
      <c r="M178" t="str">
        <f t="shared" si="6"/>
        <v>February</v>
      </c>
      <c r="N178">
        <v>2025</v>
      </c>
      <c r="O178">
        <f t="shared" si="7"/>
        <v>9716</v>
      </c>
      <c r="P178">
        <f t="shared" si="8"/>
        <v>4164</v>
      </c>
    </row>
    <row r="179" spans="1:16">
      <c r="A179">
        <v>178</v>
      </c>
      <c r="B179" t="s">
        <v>69</v>
      </c>
      <c r="C179" t="s">
        <v>70</v>
      </c>
      <c r="D179" t="s">
        <v>76</v>
      </c>
      <c r="E179" t="s">
        <v>43</v>
      </c>
      <c r="F179" t="s">
        <v>22</v>
      </c>
      <c r="G179">
        <v>642</v>
      </c>
      <c r="H179">
        <v>4</v>
      </c>
      <c r="I179">
        <v>2568</v>
      </c>
      <c r="J179">
        <v>4.8</v>
      </c>
      <c r="K179" t="s">
        <v>28</v>
      </c>
      <c r="L179">
        <v>11</v>
      </c>
      <c r="M179" t="str">
        <f t="shared" si="6"/>
        <v>November</v>
      </c>
      <c r="N179">
        <v>2025</v>
      </c>
      <c r="O179">
        <f t="shared" si="7"/>
        <v>1797.6</v>
      </c>
      <c r="P179">
        <f t="shared" si="8"/>
        <v>770.40000000000009</v>
      </c>
    </row>
    <row r="180" spans="1:16">
      <c r="A180">
        <v>179</v>
      </c>
      <c r="B180" t="s">
        <v>69</v>
      </c>
      <c r="C180" t="s">
        <v>104</v>
      </c>
      <c r="D180" t="s">
        <v>30</v>
      </c>
      <c r="E180" t="s">
        <v>50</v>
      </c>
      <c r="F180" t="s">
        <v>27</v>
      </c>
      <c r="G180">
        <v>1217</v>
      </c>
      <c r="H180">
        <v>13</v>
      </c>
      <c r="I180">
        <v>15821</v>
      </c>
      <c r="J180">
        <v>3.6</v>
      </c>
      <c r="K180" t="s">
        <v>47</v>
      </c>
      <c r="L180">
        <v>2</v>
      </c>
      <c r="M180" t="str">
        <f t="shared" si="6"/>
        <v>February</v>
      </c>
      <c r="N180">
        <v>2025</v>
      </c>
      <c r="O180">
        <f t="shared" si="7"/>
        <v>11074.699999999999</v>
      </c>
      <c r="P180">
        <f t="shared" si="8"/>
        <v>4746.3000000000011</v>
      </c>
    </row>
    <row r="181" spans="1:16">
      <c r="A181">
        <v>180</v>
      </c>
      <c r="B181" t="s">
        <v>13</v>
      </c>
      <c r="C181" t="s">
        <v>87</v>
      </c>
      <c r="D181" t="s">
        <v>15</v>
      </c>
      <c r="E181" t="s">
        <v>16</v>
      </c>
      <c r="F181" t="s">
        <v>17</v>
      </c>
      <c r="G181">
        <v>477</v>
      </c>
      <c r="H181">
        <v>7</v>
      </c>
      <c r="I181">
        <v>3339</v>
      </c>
      <c r="J181">
        <v>4.5</v>
      </c>
      <c r="K181" t="s">
        <v>28</v>
      </c>
      <c r="L181">
        <v>6</v>
      </c>
      <c r="M181" t="str">
        <f t="shared" si="6"/>
        <v>June</v>
      </c>
      <c r="N181">
        <v>2025</v>
      </c>
      <c r="O181">
        <f t="shared" si="7"/>
        <v>2337.2999999999997</v>
      </c>
      <c r="P181">
        <f t="shared" si="8"/>
        <v>1001.7000000000003</v>
      </c>
    </row>
    <row r="182" spans="1:16">
      <c r="A182">
        <v>181</v>
      </c>
      <c r="B182" t="s">
        <v>13</v>
      </c>
      <c r="C182" t="s">
        <v>52</v>
      </c>
      <c r="D182" t="s">
        <v>26</v>
      </c>
      <c r="E182" t="s">
        <v>33</v>
      </c>
      <c r="F182" t="s">
        <v>34</v>
      </c>
      <c r="G182">
        <v>1023</v>
      </c>
      <c r="H182">
        <v>1</v>
      </c>
      <c r="I182">
        <v>1023</v>
      </c>
      <c r="J182">
        <v>3.9</v>
      </c>
      <c r="K182" t="s">
        <v>18</v>
      </c>
      <c r="L182">
        <v>1</v>
      </c>
      <c r="M182" t="str">
        <f t="shared" si="6"/>
        <v>January</v>
      </c>
      <c r="N182">
        <v>2025</v>
      </c>
      <c r="O182">
        <f t="shared" si="7"/>
        <v>716.09999999999991</v>
      </c>
      <c r="P182">
        <f t="shared" si="8"/>
        <v>306.90000000000009</v>
      </c>
    </row>
    <row r="183" spans="1:16">
      <c r="A183">
        <v>182</v>
      </c>
      <c r="B183" t="s">
        <v>64</v>
      </c>
      <c r="C183" t="s">
        <v>150</v>
      </c>
      <c r="D183" t="s">
        <v>21</v>
      </c>
      <c r="E183" t="s">
        <v>50</v>
      </c>
      <c r="F183" t="s">
        <v>39</v>
      </c>
      <c r="G183">
        <v>786</v>
      </c>
      <c r="H183">
        <v>5</v>
      </c>
      <c r="I183">
        <v>3930</v>
      </c>
      <c r="J183">
        <v>4</v>
      </c>
      <c r="K183" t="s">
        <v>28</v>
      </c>
      <c r="L183">
        <v>1</v>
      </c>
      <c r="M183" t="str">
        <f t="shared" si="6"/>
        <v>January</v>
      </c>
      <c r="N183">
        <v>2025</v>
      </c>
      <c r="O183">
        <f t="shared" si="7"/>
        <v>2751</v>
      </c>
      <c r="P183">
        <f t="shared" si="8"/>
        <v>1179</v>
      </c>
    </row>
    <row r="184" spans="1:16">
      <c r="A184">
        <v>183</v>
      </c>
      <c r="B184" t="s">
        <v>64</v>
      </c>
      <c r="C184" t="s">
        <v>163</v>
      </c>
      <c r="D184" t="s">
        <v>76</v>
      </c>
      <c r="E184" t="s">
        <v>33</v>
      </c>
      <c r="F184" t="s">
        <v>27</v>
      </c>
      <c r="G184">
        <v>497</v>
      </c>
      <c r="H184">
        <v>7</v>
      </c>
      <c r="I184">
        <v>3479</v>
      </c>
      <c r="J184">
        <v>3.5</v>
      </c>
      <c r="K184" t="s">
        <v>28</v>
      </c>
      <c r="L184">
        <v>12</v>
      </c>
      <c r="M184" t="str">
        <f t="shared" si="6"/>
        <v>December</v>
      </c>
      <c r="N184">
        <v>2025</v>
      </c>
      <c r="O184">
        <f t="shared" si="7"/>
        <v>2435.2999999999997</v>
      </c>
      <c r="P184">
        <f t="shared" si="8"/>
        <v>1043.7000000000003</v>
      </c>
    </row>
    <row r="185" spans="1:16">
      <c r="A185">
        <v>184</v>
      </c>
      <c r="B185" t="s">
        <v>36</v>
      </c>
      <c r="C185" t="s">
        <v>135</v>
      </c>
      <c r="D185" t="s">
        <v>42</v>
      </c>
      <c r="E185" t="s">
        <v>16</v>
      </c>
      <c r="F185" t="s">
        <v>63</v>
      </c>
      <c r="G185">
        <v>921</v>
      </c>
      <c r="H185">
        <v>1</v>
      </c>
      <c r="I185">
        <v>921</v>
      </c>
      <c r="J185">
        <v>4</v>
      </c>
      <c r="K185" t="s">
        <v>47</v>
      </c>
      <c r="L185">
        <v>3</v>
      </c>
      <c r="M185" t="str">
        <f t="shared" si="6"/>
        <v>March</v>
      </c>
      <c r="N185">
        <v>2025</v>
      </c>
      <c r="O185">
        <f t="shared" si="7"/>
        <v>644.69999999999993</v>
      </c>
      <c r="P185">
        <f t="shared" si="8"/>
        <v>276.30000000000007</v>
      </c>
    </row>
    <row r="186" spans="1:16">
      <c r="A186">
        <v>185</v>
      </c>
      <c r="B186" t="s">
        <v>64</v>
      </c>
      <c r="C186" t="s">
        <v>165</v>
      </c>
      <c r="D186" t="s">
        <v>76</v>
      </c>
      <c r="E186" t="s">
        <v>33</v>
      </c>
      <c r="F186" t="s">
        <v>17</v>
      </c>
      <c r="G186">
        <v>1433</v>
      </c>
      <c r="H186">
        <v>9</v>
      </c>
      <c r="I186">
        <v>12897</v>
      </c>
      <c r="J186">
        <v>5</v>
      </c>
      <c r="K186" t="s">
        <v>28</v>
      </c>
      <c r="L186">
        <v>4</v>
      </c>
      <c r="M186" t="str">
        <f t="shared" si="6"/>
        <v>April</v>
      </c>
      <c r="N186">
        <v>2025</v>
      </c>
      <c r="O186">
        <f t="shared" si="7"/>
        <v>9027.9</v>
      </c>
      <c r="P186">
        <f t="shared" si="8"/>
        <v>3869.1000000000004</v>
      </c>
    </row>
    <row r="187" spans="1:16">
      <c r="A187">
        <v>186</v>
      </c>
      <c r="B187" t="s">
        <v>40</v>
      </c>
      <c r="C187" t="s">
        <v>46</v>
      </c>
      <c r="D187" t="s">
        <v>42</v>
      </c>
      <c r="E187" t="s">
        <v>33</v>
      </c>
      <c r="F187" t="s">
        <v>17</v>
      </c>
      <c r="G187">
        <v>1222</v>
      </c>
      <c r="H187">
        <v>8</v>
      </c>
      <c r="I187">
        <v>9776</v>
      </c>
      <c r="J187">
        <v>4.2</v>
      </c>
      <c r="K187" t="s">
        <v>28</v>
      </c>
      <c r="L187">
        <v>2</v>
      </c>
      <c r="M187" t="str">
        <f t="shared" si="6"/>
        <v>February</v>
      </c>
      <c r="N187">
        <v>2025</v>
      </c>
      <c r="O187">
        <f t="shared" si="7"/>
        <v>6843.2</v>
      </c>
      <c r="P187">
        <f t="shared" si="8"/>
        <v>2932.8</v>
      </c>
    </row>
    <row r="188" spans="1:16">
      <c r="A188">
        <v>187</v>
      </c>
      <c r="B188" t="s">
        <v>64</v>
      </c>
      <c r="C188" t="s">
        <v>65</v>
      </c>
      <c r="D188" t="s">
        <v>15</v>
      </c>
      <c r="E188" t="s">
        <v>43</v>
      </c>
      <c r="F188" t="s">
        <v>22</v>
      </c>
      <c r="G188">
        <v>1279</v>
      </c>
      <c r="H188">
        <v>16</v>
      </c>
      <c r="I188">
        <v>20464</v>
      </c>
      <c r="J188">
        <v>4.9000000000000004</v>
      </c>
      <c r="K188" t="s">
        <v>23</v>
      </c>
      <c r="L188">
        <v>3</v>
      </c>
      <c r="M188" t="str">
        <f t="shared" si="6"/>
        <v>March</v>
      </c>
      <c r="N188">
        <v>2025</v>
      </c>
      <c r="O188">
        <f t="shared" si="7"/>
        <v>14324.8</v>
      </c>
      <c r="P188">
        <f t="shared" si="8"/>
        <v>6139.2000000000007</v>
      </c>
    </row>
    <row r="189" spans="1:16">
      <c r="A189">
        <v>188</v>
      </c>
      <c r="B189" t="s">
        <v>36</v>
      </c>
      <c r="C189" t="s">
        <v>151</v>
      </c>
      <c r="D189" t="s">
        <v>32</v>
      </c>
      <c r="E189" t="s">
        <v>16</v>
      </c>
      <c r="F189" t="s">
        <v>27</v>
      </c>
      <c r="G189">
        <v>1275</v>
      </c>
      <c r="H189">
        <v>19</v>
      </c>
      <c r="I189">
        <v>24225</v>
      </c>
      <c r="J189">
        <v>4.9000000000000004</v>
      </c>
      <c r="K189" t="s">
        <v>28</v>
      </c>
      <c r="L189">
        <v>1</v>
      </c>
      <c r="M189" t="str">
        <f t="shared" si="6"/>
        <v>January</v>
      </c>
      <c r="N189">
        <v>2025</v>
      </c>
      <c r="O189">
        <f t="shared" si="7"/>
        <v>16957.5</v>
      </c>
      <c r="P189">
        <f t="shared" si="8"/>
        <v>7267.5</v>
      </c>
    </row>
    <row r="190" spans="1:16">
      <c r="A190">
        <v>189</v>
      </c>
      <c r="B190" t="s">
        <v>36</v>
      </c>
      <c r="C190" t="s">
        <v>89</v>
      </c>
      <c r="D190" t="s">
        <v>57</v>
      </c>
      <c r="E190" t="s">
        <v>33</v>
      </c>
      <c r="F190" t="s">
        <v>22</v>
      </c>
      <c r="G190">
        <v>391</v>
      </c>
      <c r="H190">
        <v>7</v>
      </c>
      <c r="I190">
        <v>2737</v>
      </c>
      <c r="J190">
        <v>5</v>
      </c>
      <c r="K190" t="s">
        <v>23</v>
      </c>
      <c r="L190">
        <v>9</v>
      </c>
      <c r="M190" t="str">
        <f t="shared" si="6"/>
        <v>September</v>
      </c>
      <c r="N190">
        <v>2025</v>
      </c>
      <c r="O190">
        <f t="shared" si="7"/>
        <v>1915.8999999999999</v>
      </c>
      <c r="P190">
        <f t="shared" si="8"/>
        <v>821.10000000000014</v>
      </c>
    </row>
    <row r="191" spans="1:16">
      <c r="A191">
        <v>190</v>
      </c>
      <c r="B191" t="s">
        <v>13</v>
      </c>
      <c r="C191" t="s">
        <v>166</v>
      </c>
      <c r="D191" t="s">
        <v>15</v>
      </c>
      <c r="E191" t="s">
        <v>43</v>
      </c>
      <c r="F191" t="s">
        <v>39</v>
      </c>
      <c r="G191">
        <v>361</v>
      </c>
      <c r="H191">
        <v>1</v>
      </c>
      <c r="I191">
        <v>361</v>
      </c>
      <c r="J191">
        <v>3.8</v>
      </c>
      <c r="K191" t="s">
        <v>28</v>
      </c>
      <c r="L191">
        <v>8</v>
      </c>
      <c r="M191" t="str">
        <f t="shared" si="6"/>
        <v>August</v>
      </c>
      <c r="N191">
        <v>2025</v>
      </c>
      <c r="O191">
        <f t="shared" si="7"/>
        <v>252.7</v>
      </c>
      <c r="P191">
        <f t="shared" si="8"/>
        <v>108.30000000000001</v>
      </c>
    </row>
    <row r="192" spans="1:16">
      <c r="A192">
        <v>191</v>
      </c>
      <c r="B192" t="s">
        <v>24</v>
      </c>
      <c r="C192" t="s">
        <v>152</v>
      </c>
      <c r="D192" t="s">
        <v>60</v>
      </c>
      <c r="E192" t="s">
        <v>50</v>
      </c>
      <c r="F192" t="s">
        <v>39</v>
      </c>
      <c r="G192">
        <v>1132</v>
      </c>
      <c r="H192">
        <v>11</v>
      </c>
      <c r="I192">
        <v>12452</v>
      </c>
      <c r="J192">
        <v>3.4</v>
      </c>
      <c r="K192" t="s">
        <v>47</v>
      </c>
      <c r="L192">
        <v>8</v>
      </c>
      <c r="M192" t="str">
        <f t="shared" si="6"/>
        <v>August</v>
      </c>
      <c r="N192">
        <v>2025</v>
      </c>
      <c r="O192">
        <f t="shared" si="7"/>
        <v>8716.4</v>
      </c>
      <c r="P192">
        <f t="shared" si="8"/>
        <v>3735.6000000000004</v>
      </c>
    </row>
    <row r="193" spans="1:16">
      <c r="A193">
        <v>192</v>
      </c>
      <c r="B193" t="s">
        <v>69</v>
      </c>
      <c r="C193" t="s">
        <v>99</v>
      </c>
      <c r="D193" t="s">
        <v>21</v>
      </c>
      <c r="E193" t="s">
        <v>16</v>
      </c>
      <c r="F193" t="s">
        <v>63</v>
      </c>
      <c r="G193">
        <v>715</v>
      </c>
      <c r="H193">
        <v>17</v>
      </c>
      <c r="I193">
        <v>12155</v>
      </c>
      <c r="J193">
        <v>4.8</v>
      </c>
      <c r="K193" t="s">
        <v>28</v>
      </c>
      <c r="L193">
        <v>7</v>
      </c>
      <c r="M193" t="str">
        <f t="shared" si="6"/>
        <v>July</v>
      </c>
      <c r="N193">
        <v>2025</v>
      </c>
      <c r="O193">
        <f t="shared" si="7"/>
        <v>8508.5</v>
      </c>
      <c r="P193">
        <f t="shared" si="8"/>
        <v>3646.5</v>
      </c>
    </row>
    <row r="194" spans="1:16">
      <c r="A194">
        <v>193</v>
      </c>
      <c r="B194" t="s">
        <v>58</v>
      </c>
      <c r="C194" t="s">
        <v>90</v>
      </c>
      <c r="D194" t="s">
        <v>60</v>
      </c>
      <c r="E194" t="s">
        <v>16</v>
      </c>
      <c r="F194" t="s">
        <v>22</v>
      </c>
      <c r="G194">
        <v>1148</v>
      </c>
      <c r="H194">
        <v>8</v>
      </c>
      <c r="I194">
        <v>9184</v>
      </c>
      <c r="J194">
        <v>4.5</v>
      </c>
      <c r="K194" t="s">
        <v>28</v>
      </c>
      <c r="L194">
        <v>1</v>
      </c>
      <c r="M194" t="str">
        <f t="shared" si="6"/>
        <v>January</v>
      </c>
      <c r="N194">
        <v>2025</v>
      </c>
      <c r="O194">
        <f t="shared" si="7"/>
        <v>6428.7999999999993</v>
      </c>
      <c r="P194">
        <f t="shared" si="8"/>
        <v>2755.2000000000007</v>
      </c>
    </row>
    <row r="195" spans="1:16">
      <c r="A195">
        <v>194</v>
      </c>
      <c r="B195" t="s">
        <v>44</v>
      </c>
      <c r="C195" t="s">
        <v>167</v>
      </c>
      <c r="D195" t="s">
        <v>57</v>
      </c>
      <c r="E195" t="s">
        <v>33</v>
      </c>
      <c r="F195" t="s">
        <v>17</v>
      </c>
      <c r="G195">
        <v>1251</v>
      </c>
      <c r="H195">
        <v>12</v>
      </c>
      <c r="I195">
        <v>15012</v>
      </c>
      <c r="J195">
        <v>3</v>
      </c>
      <c r="K195" t="s">
        <v>23</v>
      </c>
      <c r="L195">
        <v>9</v>
      </c>
      <c r="M195" t="str">
        <f t="shared" ref="M195:M258" si="9">TEXT(DATE(2025, L195, 1), "mmmm")</f>
        <v>September</v>
      </c>
      <c r="N195">
        <v>2025</v>
      </c>
      <c r="O195">
        <f t="shared" ref="O195:O258" si="10">I195*0.7</f>
        <v>10508.4</v>
      </c>
      <c r="P195">
        <f t="shared" ref="P195:P258" si="11">I195-O195</f>
        <v>4503.6000000000004</v>
      </c>
    </row>
    <row r="196" spans="1:16">
      <c r="A196">
        <v>195</v>
      </c>
      <c r="B196" t="s">
        <v>58</v>
      </c>
      <c r="C196" t="s">
        <v>144</v>
      </c>
      <c r="D196" t="s">
        <v>30</v>
      </c>
      <c r="E196" t="s">
        <v>50</v>
      </c>
      <c r="F196" t="s">
        <v>22</v>
      </c>
      <c r="G196">
        <v>1041</v>
      </c>
      <c r="H196">
        <v>17</v>
      </c>
      <c r="I196">
        <v>17697</v>
      </c>
      <c r="J196">
        <v>4.9000000000000004</v>
      </c>
      <c r="K196" t="s">
        <v>18</v>
      </c>
      <c r="L196">
        <v>10</v>
      </c>
      <c r="M196" t="str">
        <f t="shared" si="9"/>
        <v>October</v>
      </c>
      <c r="N196">
        <v>2025</v>
      </c>
      <c r="O196">
        <f t="shared" si="10"/>
        <v>12387.9</v>
      </c>
      <c r="P196">
        <f t="shared" si="11"/>
        <v>5309.1</v>
      </c>
    </row>
    <row r="197" spans="1:16">
      <c r="A197">
        <v>196</v>
      </c>
      <c r="B197" t="s">
        <v>55</v>
      </c>
      <c r="C197" t="s">
        <v>141</v>
      </c>
      <c r="D197" t="s">
        <v>30</v>
      </c>
      <c r="E197" t="s">
        <v>16</v>
      </c>
      <c r="F197" t="s">
        <v>39</v>
      </c>
      <c r="G197">
        <v>547</v>
      </c>
      <c r="H197">
        <v>12</v>
      </c>
      <c r="I197">
        <v>6564</v>
      </c>
      <c r="J197">
        <v>4.5</v>
      </c>
      <c r="K197" t="s">
        <v>18</v>
      </c>
      <c r="L197">
        <v>7</v>
      </c>
      <c r="M197" t="str">
        <f t="shared" si="9"/>
        <v>July</v>
      </c>
      <c r="N197">
        <v>2025</v>
      </c>
      <c r="O197">
        <f t="shared" si="10"/>
        <v>4594.7999999999993</v>
      </c>
      <c r="P197">
        <f t="shared" si="11"/>
        <v>1969.2000000000007</v>
      </c>
    </row>
    <row r="198" spans="1:16">
      <c r="A198">
        <v>197</v>
      </c>
      <c r="B198" t="s">
        <v>55</v>
      </c>
      <c r="C198" t="s">
        <v>168</v>
      </c>
      <c r="D198" t="s">
        <v>76</v>
      </c>
      <c r="E198" t="s">
        <v>16</v>
      </c>
      <c r="F198" t="s">
        <v>17</v>
      </c>
      <c r="G198">
        <v>858</v>
      </c>
      <c r="H198">
        <v>18</v>
      </c>
      <c r="I198">
        <v>15444</v>
      </c>
      <c r="J198">
        <v>5</v>
      </c>
      <c r="K198" t="s">
        <v>47</v>
      </c>
      <c r="L198">
        <v>11</v>
      </c>
      <c r="M198" t="str">
        <f t="shared" si="9"/>
        <v>November</v>
      </c>
      <c r="N198">
        <v>2025</v>
      </c>
      <c r="O198">
        <f t="shared" si="10"/>
        <v>10810.8</v>
      </c>
      <c r="P198">
        <f t="shared" si="11"/>
        <v>4633.2000000000007</v>
      </c>
    </row>
    <row r="199" spans="1:16">
      <c r="A199">
        <v>198</v>
      </c>
      <c r="B199" t="s">
        <v>13</v>
      </c>
      <c r="C199" t="s">
        <v>107</v>
      </c>
      <c r="D199" t="s">
        <v>42</v>
      </c>
      <c r="E199" t="s">
        <v>33</v>
      </c>
      <c r="F199" t="s">
        <v>63</v>
      </c>
      <c r="G199">
        <v>585</v>
      </c>
      <c r="H199">
        <v>15</v>
      </c>
      <c r="I199">
        <v>8775</v>
      </c>
      <c r="J199">
        <v>3.5</v>
      </c>
      <c r="K199" t="s">
        <v>35</v>
      </c>
      <c r="L199">
        <v>11</v>
      </c>
      <c r="M199" t="str">
        <f t="shared" si="9"/>
        <v>November</v>
      </c>
      <c r="N199">
        <v>2025</v>
      </c>
      <c r="O199">
        <f t="shared" si="10"/>
        <v>6142.5</v>
      </c>
      <c r="P199">
        <f t="shared" si="11"/>
        <v>2632.5</v>
      </c>
    </row>
    <row r="200" spans="1:16">
      <c r="A200">
        <v>199</v>
      </c>
      <c r="B200" t="s">
        <v>40</v>
      </c>
      <c r="C200" t="s">
        <v>169</v>
      </c>
      <c r="D200" t="s">
        <v>26</v>
      </c>
      <c r="E200" t="s">
        <v>33</v>
      </c>
      <c r="F200" t="s">
        <v>22</v>
      </c>
      <c r="G200">
        <v>1379</v>
      </c>
      <c r="H200">
        <v>6</v>
      </c>
      <c r="I200">
        <v>8274</v>
      </c>
      <c r="J200">
        <v>4.4000000000000004</v>
      </c>
      <c r="K200" t="s">
        <v>35</v>
      </c>
      <c r="L200">
        <v>10</v>
      </c>
      <c r="M200" t="str">
        <f t="shared" si="9"/>
        <v>October</v>
      </c>
      <c r="N200">
        <v>2025</v>
      </c>
      <c r="O200">
        <f t="shared" si="10"/>
        <v>5791.7999999999993</v>
      </c>
      <c r="P200">
        <f t="shared" si="11"/>
        <v>2482.2000000000007</v>
      </c>
    </row>
    <row r="201" spans="1:16">
      <c r="A201">
        <v>200</v>
      </c>
      <c r="B201" t="s">
        <v>55</v>
      </c>
      <c r="C201" t="s">
        <v>168</v>
      </c>
      <c r="D201" t="s">
        <v>21</v>
      </c>
      <c r="E201" t="s">
        <v>43</v>
      </c>
      <c r="F201" t="s">
        <v>34</v>
      </c>
      <c r="G201">
        <v>741</v>
      </c>
      <c r="H201">
        <v>18</v>
      </c>
      <c r="I201">
        <v>13338</v>
      </c>
      <c r="J201">
        <v>4.0999999999999996</v>
      </c>
      <c r="K201" t="s">
        <v>35</v>
      </c>
      <c r="L201">
        <v>2</v>
      </c>
      <c r="M201" t="str">
        <f t="shared" si="9"/>
        <v>February</v>
      </c>
      <c r="N201">
        <v>2025</v>
      </c>
      <c r="O201">
        <f t="shared" si="10"/>
        <v>9336.5999999999985</v>
      </c>
      <c r="P201">
        <f t="shared" si="11"/>
        <v>4001.4000000000015</v>
      </c>
    </row>
    <row r="202" spans="1:16">
      <c r="A202">
        <v>201</v>
      </c>
      <c r="B202" t="s">
        <v>36</v>
      </c>
      <c r="C202" t="s">
        <v>127</v>
      </c>
      <c r="D202" t="s">
        <v>30</v>
      </c>
      <c r="E202" t="s">
        <v>33</v>
      </c>
      <c r="F202" t="s">
        <v>34</v>
      </c>
      <c r="G202">
        <v>452</v>
      </c>
      <c r="H202">
        <v>15</v>
      </c>
      <c r="I202">
        <v>6780</v>
      </c>
      <c r="J202">
        <v>3.2</v>
      </c>
      <c r="K202" t="s">
        <v>28</v>
      </c>
      <c r="L202">
        <v>2</v>
      </c>
      <c r="M202" t="str">
        <f t="shared" si="9"/>
        <v>February</v>
      </c>
      <c r="N202">
        <v>2025</v>
      </c>
      <c r="O202">
        <f t="shared" si="10"/>
        <v>4746</v>
      </c>
      <c r="P202">
        <f t="shared" si="11"/>
        <v>2034</v>
      </c>
    </row>
    <row r="203" spans="1:16">
      <c r="A203">
        <v>202</v>
      </c>
      <c r="B203" t="s">
        <v>40</v>
      </c>
      <c r="C203" t="s">
        <v>169</v>
      </c>
      <c r="D203" t="s">
        <v>30</v>
      </c>
      <c r="E203" t="s">
        <v>16</v>
      </c>
      <c r="F203" t="s">
        <v>17</v>
      </c>
      <c r="G203">
        <v>843</v>
      </c>
      <c r="H203">
        <v>3</v>
      </c>
      <c r="I203">
        <v>2529</v>
      </c>
      <c r="J203">
        <v>5</v>
      </c>
      <c r="K203" t="s">
        <v>28</v>
      </c>
      <c r="L203">
        <v>7</v>
      </c>
      <c r="M203" t="str">
        <f t="shared" si="9"/>
        <v>July</v>
      </c>
      <c r="N203">
        <v>2025</v>
      </c>
      <c r="O203">
        <f t="shared" si="10"/>
        <v>1770.3</v>
      </c>
      <c r="P203">
        <f t="shared" si="11"/>
        <v>758.7</v>
      </c>
    </row>
    <row r="204" spans="1:16">
      <c r="A204">
        <v>203</v>
      </c>
      <c r="B204" t="s">
        <v>44</v>
      </c>
      <c r="C204" t="s">
        <v>113</v>
      </c>
      <c r="D204" t="s">
        <v>42</v>
      </c>
      <c r="E204" t="s">
        <v>43</v>
      </c>
      <c r="F204" t="s">
        <v>39</v>
      </c>
      <c r="G204">
        <v>650</v>
      </c>
      <c r="H204">
        <v>5</v>
      </c>
      <c r="I204">
        <v>3250</v>
      </c>
      <c r="J204">
        <v>4.0999999999999996</v>
      </c>
      <c r="K204" t="s">
        <v>35</v>
      </c>
      <c r="L204">
        <v>4</v>
      </c>
      <c r="M204" t="str">
        <f t="shared" si="9"/>
        <v>April</v>
      </c>
      <c r="N204">
        <v>2025</v>
      </c>
      <c r="O204">
        <f t="shared" si="10"/>
        <v>2275</v>
      </c>
      <c r="P204">
        <f t="shared" si="11"/>
        <v>975</v>
      </c>
    </row>
    <row r="205" spans="1:16">
      <c r="A205">
        <v>204</v>
      </c>
      <c r="B205" t="s">
        <v>36</v>
      </c>
      <c r="C205" t="s">
        <v>170</v>
      </c>
      <c r="D205" t="s">
        <v>26</v>
      </c>
      <c r="E205" t="s">
        <v>16</v>
      </c>
      <c r="F205" t="s">
        <v>39</v>
      </c>
      <c r="G205">
        <v>1332</v>
      </c>
      <c r="H205">
        <v>12</v>
      </c>
      <c r="I205">
        <v>15984</v>
      </c>
      <c r="J205">
        <v>3.8</v>
      </c>
      <c r="K205" t="s">
        <v>47</v>
      </c>
      <c r="L205">
        <v>10</v>
      </c>
      <c r="M205" t="str">
        <f t="shared" si="9"/>
        <v>October</v>
      </c>
      <c r="N205">
        <v>2025</v>
      </c>
      <c r="O205">
        <f t="shared" si="10"/>
        <v>11188.8</v>
      </c>
      <c r="P205">
        <f t="shared" si="11"/>
        <v>4795.2000000000007</v>
      </c>
    </row>
    <row r="206" spans="1:16">
      <c r="A206">
        <v>205</v>
      </c>
      <c r="B206" t="s">
        <v>64</v>
      </c>
      <c r="C206" t="s">
        <v>171</v>
      </c>
      <c r="D206" t="s">
        <v>15</v>
      </c>
      <c r="E206" t="s">
        <v>33</v>
      </c>
      <c r="F206" t="s">
        <v>27</v>
      </c>
      <c r="G206">
        <v>322</v>
      </c>
      <c r="H206">
        <v>6</v>
      </c>
      <c r="I206">
        <v>1932</v>
      </c>
      <c r="J206">
        <v>4</v>
      </c>
      <c r="K206" t="s">
        <v>18</v>
      </c>
      <c r="L206">
        <v>9</v>
      </c>
      <c r="M206" t="str">
        <f t="shared" si="9"/>
        <v>September</v>
      </c>
      <c r="N206">
        <v>2025</v>
      </c>
      <c r="O206">
        <f t="shared" si="10"/>
        <v>1352.3999999999999</v>
      </c>
      <c r="P206">
        <f t="shared" si="11"/>
        <v>579.60000000000014</v>
      </c>
    </row>
    <row r="207" spans="1:16">
      <c r="A207">
        <v>206</v>
      </c>
      <c r="B207" t="s">
        <v>36</v>
      </c>
      <c r="C207" t="s">
        <v>170</v>
      </c>
      <c r="D207" t="s">
        <v>57</v>
      </c>
      <c r="E207" t="s">
        <v>16</v>
      </c>
      <c r="F207" t="s">
        <v>17</v>
      </c>
      <c r="G207">
        <v>500</v>
      </c>
      <c r="H207">
        <v>19</v>
      </c>
      <c r="I207">
        <v>9500</v>
      </c>
      <c r="J207">
        <v>3.1</v>
      </c>
      <c r="K207" t="s">
        <v>18</v>
      </c>
      <c r="L207">
        <v>3</v>
      </c>
      <c r="M207" t="str">
        <f t="shared" si="9"/>
        <v>March</v>
      </c>
      <c r="N207">
        <v>2025</v>
      </c>
      <c r="O207">
        <f t="shared" si="10"/>
        <v>6650</v>
      </c>
      <c r="P207">
        <f t="shared" si="11"/>
        <v>2850</v>
      </c>
    </row>
    <row r="208" spans="1:16">
      <c r="A208">
        <v>207</v>
      </c>
      <c r="B208" t="s">
        <v>44</v>
      </c>
      <c r="C208" t="s">
        <v>167</v>
      </c>
      <c r="D208" t="s">
        <v>15</v>
      </c>
      <c r="E208" t="s">
        <v>50</v>
      </c>
      <c r="F208" t="s">
        <v>34</v>
      </c>
      <c r="G208">
        <v>1198</v>
      </c>
      <c r="H208">
        <v>6</v>
      </c>
      <c r="I208">
        <v>7188</v>
      </c>
      <c r="J208">
        <v>3.8</v>
      </c>
      <c r="K208" t="s">
        <v>47</v>
      </c>
      <c r="L208">
        <v>6</v>
      </c>
      <c r="M208" t="str">
        <f t="shared" si="9"/>
        <v>June</v>
      </c>
      <c r="N208">
        <v>2025</v>
      </c>
      <c r="O208">
        <f t="shared" si="10"/>
        <v>5031.5999999999995</v>
      </c>
      <c r="P208">
        <f t="shared" si="11"/>
        <v>2156.4000000000005</v>
      </c>
    </row>
    <row r="209" spans="1:16">
      <c r="A209">
        <v>208</v>
      </c>
      <c r="B209" t="s">
        <v>19</v>
      </c>
      <c r="C209" t="s">
        <v>120</v>
      </c>
      <c r="D209" t="s">
        <v>60</v>
      </c>
      <c r="E209" t="s">
        <v>33</v>
      </c>
      <c r="F209" t="s">
        <v>34</v>
      </c>
      <c r="G209">
        <v>1087</v>
      </c>
      <c r="H209">
        <v>18</v>
      </c>
      <c r="I209">
        <v>19566</v>
      </c>
      <c r="J209">
        <v>3.8</v>
      </c>
      <c r="K209" t="s">
        <v>23</v>
      </c>
      <c r="L209">
        <v>3</v>
      </c>
      <c r="M209" t="str">
        <f t="shared" si="9"/>
        <v>March</v>
      </c>
      <c r="N209">
        <v>2025</v>
      </c>
      <c r="O209">
        <f t="shared" si="10"/>
        <v>13696.199999999999</v>
      </c>
      <c r="P209">
        <f t="shared" si="11"/>
        <v>5869.8000000000011</v>
      </c>
    </row>
    <row r="210" spans="1:16">
      <c r="A210">
        <v>209</v>
      </c>
      <c r="B210" t="s">
        <v>44</v>
      </c>
      <c r="C210" t="s">
        <v>132</v>
      </c>
      <c r="D210" t="s">
        <v>42</v>
      </c>
      <c r="E210" t="s">
        <v>50</v>
      </c>
      <c r="F210" t="s">
        <v>27</v>
      </c>
      <c r="G210">
        <v>1306</v>
      </c>
      <c r="H210">
        <v>18</v>
      </c>
      <c r="I210">
        <v>23508</v>
      </c>
      <c r="J210">
        <v>3.8</v>
      </c>
      <c r="K210" t="s">
        <v>35</v>
      </c>
      <c r="L210">
        <v>10</v>
      </c>
      <c r="M210" t="str">
        <f t="shared" si="9"/>
        <v>October</v>
      </c>
      <c r="N210">
        <v>2025</v>
      </c>
      <c r="O210">
        <f t="shared" si="10"/>
        <v>16455.599999999999</v>
      </c>
      <c r="P210">
        <f t="shared" si="11"/>
        <v>7052.4000000000015</v>
      </c>
    </row>
    <row r="211" spans="1:16">
      <c r="A211">
        <v>210</v>
      </c>
      <c r="B211" t="s">
        <v>40</v>
      </c>
      <c r="C211" t="s">
        <v>138</v>
      </c>
      <c r="D211" t="s">
        <v>26</v>
      </c>
      <c r="E211" t="s">
        <v>43</v>
      </c>
      <c r="F211" t="s">
        <v>22</v>
      </c>
      <c r="G211">
        <v>1084</v>
      </c>
      <c r="H211">
        <v>17</v>
      </c>
      <c r="I211">
        <v>18428</v>
      </c>
      <c r="J211">
        <v>3.6</v>
      </c>
      <c r="K211" t="s">
        <v>35</v>
      </c>
      <c r="L211">
        <v>6</v>
      </c>
      <c r="M211" t="str">
        <f t="shared" si="9"/>
        <v>June</v>
      </c>
      <c r="N211">
        <v>2025</v>
      </c>
      <c r="O211">
        <f t="shared" si="10"/>
        <v>12899.599999999999</v>
      </c>
      <c r="P211">
        <f t="shared" si="11"/>
        <v>5528.4000000000015</v>
      </c>
    </row>
    <row r="212" spans="1:16">
      <c r="A212">
        <v>211</v>
      </c>
      <c r="B212" t="s">
        <v>24</v>
      </c>
      <c r="C212" t="s">
        <v>172</v>
      </c>
      <c r="D212" t="s">
        <v>57</v>
      </c>
      <c r="E212" t="s">
        <v>33</v>
      </c>
      <c r="F212" t="s">
        <v>63</v>
      </c>
      <c r="G212">
        <v>822</v>
      </c>
      <c r="H212">
        <v>20</v>
      </c>
      <c r="I212">
        <v>16440</v>
      </c>
      <c r="J212">
        <v>4.9000000000000004</v>
      </c>
      <c r="K212" t="s">
        <v>47</v>
      </c>
      <c r="L212">
        <v>6</v>
      </c>
      <c r="M212" t="str">
        <f t="shared" si="9"/>
        <v>June</v>
      </c>
      <c r="N212">
        <v>2025</v>
      </c>
      <c r="O212">
        <f t="shared" si="10"/>
        <v>11508</v>
      </c>
      <c r="P212">
        <f t="shared" si="11"/>
        <v>4932</v>
      </c>
    </row>
    <row r="213" spans="1:16">
      <c r="A213">
        <v>212</v>
      </c>
      <c r="B213" t="s">
        <v>13</v>
      </c>
      <c r="C213" t="s">
        <v>166</v>
      </c>
      <c r="D213" t="s">
        <v>38</v>
      </c>
      <c r="E213" t="s">
        <v>16</v>
      </c>
      <c r="F213" t="s">
        <v>63</v>
      </c>
      <c r="G213">
        <v>460</v>
      </c>
      <c r="H213">
        <v>18</v>
      </c>
      <c r="I213">
        <v>8280</v>
      </c>
      <c r="J213">
        <v>3.4</v>
      </c>
      <c r="K213" t="s">
        <v>23</v>
      </c>
      <c r="L213">
        <v>6</v>
      </c>
      <c r="M213" t="str">
        <f t="shared" si="9"/>
        <v>June</v>
      </c>
      <c r="N213">
        <v>2025</v>
      </c>
      <c r="O213">
        <f t="shared" si="10"/>
        <v>5796</v>
      </c>
      <c r="P213">
        <f t="shared" si="11"/>
        <v>2484</v>
      </c>
    </row>
    <row r="214" spans="1:16">
      <c r="A214">
        <v>213</v>
      </c>
      <c r="B214" t="s">
        <v>64</v>
      </c>
      <c r="C214" t="s">
        <v>173</v>
      </c>
      <c r="D214" t="s">
        <v>21</v>
      </c>
      <c r="E214" t="s">
        <v>16</v>
      </c>
      <c r="F214" t="s">
        <v>63</v>
      </c>
      <c r="G214">
        <v>483</v>
      </c>
      <c r="H214">
        <v>15</v>
      </c>
      <c r="I214">
        <v>7245</v>
      </c>
      <c r="J214">
        <v>3.6</v>
      </c>
      <c r="K214" t="s">
        <v>47</v>
      </c>
      <c r="L214">
        <v>5</v>
      </c>
      <c r="M214" t="str">
        <f t="shared" si="9"/>
        <v>May</v>
      </c>
      <c r="N214">
        <v>2025</v>
      </c>
      <c r="O214">
        <f t="shared" si="10"/>
        <v>5071.5</v>
      </c>
      <c r="P214">
        <f t="shared" si="11"/>
        <v>2173.5</v>
      </c>
    </row>
    <row r="215" spans="1:16">
      <c r="A215">
        <v>214</v>
      </c>
      <c r="B215" t="s">
        <v>55</v>
      </c>
      <c r="C215" t="s">
        <v>84</v>
      </c>
      <c r="D215" t="s">
        <v>38</v>
      </c>
      <c r="E215" t="s">
        <v>16</v>
      </c>
      <c r="F215" t="s">
        <v>34</v>
      </c>
      <c r="G215">
        <v>898</v>
      </c>
      <c r="H215">
        <v>13</v>
      </c>
      <c r="I215">
        <v>11674</v>
      </c>
      <c r="J215">
        <v>4.3</v>
      </c>
      <c r="K215" t="s">
        <v>47</v>
      </c>
      <c r="L215">
        <v>11</v>
      </c>
      <c r="M215" t="str">
        <f t="shared" si="9"/>
        <v>November</v>
      </c>
      <c r="N215">
        <v>2025</v>
      </c>
      <c r="O215">
        <f t="shared" si="10"/>
        <v>8171.7999999999993</v>
      </c>
      <c r="P215">
        <f t="shared" si="11"/>
        <v>3502.2000000000007</v>
      </c>
    </row>
    <row r="216" spans="1:16">
      <c r="A216">
        <v>215</v>
      </c>
      <c r="B216" t="s">
        <v>13</v>
      </c>
      <c r="C216" t="s">
        <v>80</v>
      </c>
      <c r="D216" t="s">
        <v>21</v>
      </c>
      <c r="E216" t="s">
        <v>43</v>
      </c>
      <c r="F216" t="s">
        <v>34</v>
      </c>
      <c r="G216">
        <v>959</v>
      </c>
      <c r="H216">
        <v>7</v>
      </c>
      <c r="I216">
        <v>6713</v>
      </c>
      <c r="J216">
        <v>3.4</v>
      </c>
      <c r="K216" t="s">
        <v>47</v>
      </c>
      <c r="L216">
        <v>2</v>
      </c>
      <c r="M216" t="str">
        <f t="shared" si="9"/>
        <v>February</v>
      </c>
      <c r="N216">
        <v>2025</v>
      </c>
      <c r="O216">
        <f t="shared" si="10"/>
        <v>4699.0999999999995</v>
      </c>
      <c r="P216">
        <f t="shared" si="11"/>
        <v>2013.9000000000005</v>
      </c>
    </row>
    <row r="217" spans="1:16">
      <c r="A217">
        <v>216</v>
      </c>
      <c r="B217" t="s">
        <v>13</v>
      </c>
      <c r="C217" t="s">
        <v>174</v>
      </c>
      <c r="D217" t="s">
        <v>32</v>
      </c>
      <c r="E217" t="s">
        <v>33</v>
      </c>
      <c r="F217" t="s">
        <v>63</v>
      </c>
      <c r="G217">
        <v>966</v>
      </c>
      <c r="H217">
        <v>20</v>
      </c>
      <c r="I217">
        <v>19320</v>
      </c>
      <c r="J217">
        <v>3.7</v>
      </c>
      <c r="K217" t="s">
        <v>28</v>
      </c>
      <c r="L217">
        <v>9</v>
      </c>
      <c r="M217" t="str">
        <f t="shared" si="9"/>
        <v>September</v>
      </c>
      <c r="N217">
        <v>2025</v>
      </c>
      <c r="O217">
        <f t="shared" si="10"/>
        <v>13524</v>
      </c>
      <c r="P217">
        <f t="shared" si="11"/>
        <v>5796</v>
      </c>
    </row>
    <row r="218" spans="1:16">
      <c r="A218">
        <v>217</v>
      </c>
      <c r="B218" t="s">
        <v>19</v>
      </c>
      <c r="C218" t="s">
        <v>175</v>
      </c>
      <c r="D218" t="s">
        <v>30</v>
      </c>
      <c r="E218" t="s">
        <v>33</v>
      </c>
      <c r="F218" t="s">
        <v>17</v>
      </c>
      <c r="G218">
        <v>525</v>
      </c>
      <c r="H218">
        <v>1</v>
      </c>
      <c r="I218">
        <v>525</v>
      </c>
      <c r="J218">
        <v>3.7</v>
      </c>
      <c r="K218" t="s">
        <v>47</v>
      </c>
      <c r="L218">
        <v>5</v>
      </c>
      <c r="M218" t="str">
        <f t="shared" si="9"/>
        <v>May</v>
      </c>
      <c r="N218">
        <v>2025</v>
      </c>
      <c r="O218">
        <f t="shared" si="10"/>
        <v>367.5</v>
      </c>
      <c r="P218">
        <f t="shared" si="11"/>
        <v>157.5</v>
      </c>
    </row>
    <row r="219" spans="1:16">
      <c r="A219">
        <v>218</v>
      </c>
      <c r="B219" t="s">
        <v>64</v>
      </c>
      <c r="C219" t="s">
        <v>147</v>
      </c>
      <c r="D219" t="s">
        <v>38</v>
      </c>
      <c r="E219" t="s">
        <v>50</v>
      </c>
      <c r="F219" t="s">
        <v>27</v>
      </c>
      <c r="G219">
        <v>1135</v>
      </c>
      <c r="H219">
        <v>5</v>
      </c>
      <c r="I219">
        <v>5675</v>
      </c>
      <c r="J219">
        <v>3.6</v>
      </c>
      <c r="K219" t="s">
        <v>35</v>
      </c>
      <c r="L219">
        <v>9</v>
      </c>
      <c r="M219" t="str">
        <f t="shared" si="9"/>
        <v>September</v>
      </c>
      <c r="N219">
        <v>2025</v>
      </c>
      <c r="O219">
        <f t="shared" si="10"/>
        <v>3972.4999999999995</v>
      </c>
      <c r="P219">
        <f t="shared" si="11"/>
        <v>1702.5000000000005</v>
      </c>
    </row>
    <row r="220" spans="1:16">
      <c r="A220">
        <v>219</v>
      </c>
      <c r="B220" t="s">
        <v>40</v>
      </c>
      <c r="C220" t="s">
        <v>128</v>
      </c>
      <c r="D220" t="s">
        <v>30</v>
      </c>
      <c r="E220" t="s">
        <v>16</v>
      </c>
      <c r="F220" t="s">
        <v>17</v>
      </c>
      <c r="G220">
        <v>1005</v>
      </c>
      <c r="H220">
        <v>2</v>
      </c>
      <c r="I220">
        <v>2010</v>
      </c>
      <c r="J220">
        <v>3.4</v>
      </c>
      <c r="K220" t="s">
        <v>28</v>
      </c>
      <c r="L220">
        <v>5</v>
      </c>
      <c r="M220" t="str">
        <f t="shared" si="9"/>
        <v>May</v>
      </c>
      <c r="N220">
        <v>2025</v>
      </c>
      <c r="O220">
        <f t="shared" si="10"/>
        <v>1407</v>
      </c>
      <c r="P220">
        <f t="shared" si="11"/>
        <v>603</v>
      </c>
    </row>
    <row r="221" spans="1:16">
      <c r="A221">
        <v>220</v>
      </c>
      <c r="B221" t="s">
        <v>19</v>
      </c>
      <c r="C221" t="s">
        <v>175</v>
      </c>
      <c r="D221" t="s">
        <v>76</v>
      </c>
      <c r="E221" t="s">
        <v>16</v>
      </c>
      <c r="F221" t="s">
        <v>27</v>
      </c>
      <c r="G221">
        <v>719</v>
      </c>
      <c r="H221">
        <v>11</v>
      </c>
      <c r="I221">
        <v>7909</v>
      </c>
      <c r="J221">
        <v>4.8</v>
      </c>
      <c r="K221" t="s">
        <v>47</v>
      </c>
      <c r="L221">
        <v>9</v>
      </c>
      <c r="M221" t="str">
        <f t="shared" si="9"/>
        <v>September</v>
      </c>
      <c r="N221">
        <v>2025</v>
      </c>
      <c r="O221">
        <f t="shared" si="10"/>
        <v>5536.2999999999993</v>
      </c>
      <c r="P221">
        <f t="shared" si="11"/>
        <v>2372.7000000000007</v>
      </c>
    </row>
    <row r="222" spans="1:16">
      <c r="A222">
        <v>221</v>
      </c>
      <c r="B222" t="s">
        <v>24</v>
      </c>
      <c r="C222" t="s">
        <v>176</v>
      </c>
      <c r="D222" t="s">
        <v>30</v>
      </c>
      <c r="E222" t="s">
        <v>33</v>
      </c>
      <c r="F222" t="s">
        <v>22</v>
      </c>
      <c r="G222">
        <v>344</v>
      </c>
      <c r="H222">
        <v>8</v>
      </c>
      <c r="I222">
        <v>2752</v>
      </c>
      <c r="J222">
        <v>4</v>
      </c>
      <c r="K222" t="s">
        <v>18</v>
      </c>
      <c r="L222">
        <v>2</v>
      </c>
      <c r="M222" t="str">
        <f t="shared" si="9"/>
        <v>February</v>
      </c>
      <c r="N222">
        <v>2025</v>
      </c>
      <c r="O222">
        <f t="shared" si="10"/>
        <v>1926.3999999999999</v>
      </c>
      <c r="P222">
        <f t="shared" si="11"/>
        <v>825.60000000000014</v>
      </c>
    </row>
    <row r="223" spans="1:16">
      <c r="A223">
        <v>222</v>
      </c>
      <c r="B223" t="s">
        <v>55</v>
      </c>
      <c r="C223" t="s">
        <v>68</v>
      </c>
      <c r="D223" t="s">
        <v>76</v>
      </c>
      <c r="E223" t="s">
        <v>16</v>
      </c>
      <c r="F223" t="s">
        <v>22</v>
      </c>
      <c r="G223">
        <v>467</v>
      </c>
      <c r="H223">
        <v>20</v>
      </c>
      <c r="I223">
        <v>9340</v>
      </c>
      <c r="J223">
        <v>3.8</v>
      </c>
      <c r="K223" t="s">
        <v>23</v>
      </c>
      <c r="L223">
        <v>2</v>
      </c>
      <c r="M223" t="str">
        <f t="shared" si="9"/>
        <v>February</v>
      </c>
      <c r="N223">
        <v>2025</v>
      </c>
      <c r="O223">
        <f t="shared" si="10"/>
        <v>6538</v>
      </c>
      <c r="P223">
        <f t="shared" si="11"/>
        <v>2802</v>
      </c>
    </row>
    <row r="224" spans="1:16">
      <c r="A224">
        <v>223</v>
      </c>
      <c r="B224" t="s">
        <v>69</v>
      </c>
      <c r="C224" t="s">
        <v>125</v>
      </c>
      <c r="D224" t="s">
        <v>26</v>
      </c>
      <c r="E224" t="s">
        <v>50</v>
      </c>
      <c r="F224" t="s">
        <v>39</v>
      </c>
      <c r="G224">
        <v>1405</v>
      </c>
      <c r="H224">
        <v>18</v>
      </c>
      <c r="I224">
        <v>25290</v>
      </c>
      <c r="J224">
        <v>4.7</v>
      </c>
      <c r="K224" t="s">
        <v>35</v>
      </c>
      <c r="L224">
        <v>10</v>
      </c>
      <c r="M224" t="str">
        <f t="shared" si="9"/>
        <v>October</v>
      </c>
      <c r="N224">
        <v>2025</v>
      </c>
      <c r="O224">
        <f t="shared" si="10"/>
        <v>17703</v>
      </c>
      <c r="P224">
        <f t="shared" si="11"/>
        <v>7587</v>
      </c>
    </row>
    <row r="225" spans="1:16">
      <c r="A225">
        <v>224</v>
      </c>
      <c r="B225" t="s">
        <v>40</v>
      </c>
      <c r="C225" t="s">
        <v>177</v>
      </c>
      <c r="D225" t="s">
        <v>26</v>
      </c>
      <c r="E225" t="s">
        <v>43</v>
      </c>
      <c r="F225" t="s">
        <v>34</v>
      </c>
      <c r="G225">
        <v>988</v>
      </c>
      <c r="H225">
        <v>14</v>
      </c>
      <c r="I225">
        <v>13832</v>
      </c>
      <c r="J225">
        <v>4.5999999999999996</v>
      </c>
      <c r="K225" t="s">
        <v>28</v>
      </c>
      <c r="L225">
        <v>1</v>
      </c>
      <c r="M225" t="str">
        <f t="shared" si="9"/>
        <v>January</v>
      </c>
      <c r="N225">
        <v>2025</v>
      </c>
      <c r="O225">
        <f t="shared" si="10"/>
        <v>9682.4</v>
      </c>
      <c r="P225">
        <f t="shared" si="11"/>
        <v>4149.6000000000004</v>
      </c>
    </row>
    <row r="226" spans="1:16">
      <c r="A226">
        <v>225</v>
      </c>
      <c r="B226" t="s">
        <v>19</v>
      </c>
      <c r="C226" t="s">
        <v>178</v>
      </c>
      <c r="D226" t="s">
        <v>32</v>
      </c>
      <c r="E226" t="s">
        <v>16</v>
      </c>
      <c r="F226" t="s">
        <v>17</v>
      </c>
      <c r="G226">
        <v>387</v>
      </c>
      <c r="H226">
        <v>10</v>
      </c>
      <c r="I226">
        <v>3870</v>
      </c>
      <c r="J226">
        <v>4.5999999999999996</v>
      </c>
      <c r="K226" t="s">
        <v>23</v>
      </c>
      <c r="L226">
        <v>7</v>
      </c>
      <c r="M226" t="str">
        <f t="shared" si="9"/>
        <v>July</v>
      </c>
      <c r="N226">
        <v>2025</v>
      </c>
      <c r="O226">
        <f t="shared" si="10"/>
        <v>2709</v>
      </c>
      <c r="P226">
        <f t="shared" si="11"/>
        <v>1161</v>
      </c>
    </row>
    <row r="227" spans="1:16">
      <c r="A227">
        <v>226</v>
      </c>
      <c r="B227" t="s">
        <v>24</v>
      </c>
      <c r="C227" t="s">
        <v>179</v>
      </c>
      <c r="D227" t="s">
        <v>15</v>
      </c>
      <c r="E227" t="s">
        <v>16</v>
      </c>
      <c r="F227" t="s">
        <v>17</v>
      </c>
      <c r="G227">
        <v>1115</v>
      </c>
      <c r="H227">
        <v>15</v>
      </c>
      <c r="I227">
        <v>16725</v>
      </c>
      <c r="J227">
        <v>4.2</v>
      </c>
      <c r="K227" t="s">
        <v>28</v>
      </c>
      <c r="L227">
        <v>12</v>
      </c>
      <c r="M227" t="str">
        <f t="shared" si="9"/>
        <v>December</v>
      </c>
      <c r="N227">
        <v>2025</v>
      </c>
      <c r="O227">
        <f t="shared" si="10"/>
        <v>11707.5</v>
      </c>
      <c r="P227">
        <f t="shared" si="11"/>
        <v>5017.5</v>
      </c>
    </row>
    <row r="228" spans="1:16">
      <c r="A228">
        <v>227</v>
      </c>
      <c r="B228" t="s">
        <v>58</v>
      </c>
      <c r="C228" t="s">
        <v>117</v>
      </c>
      <c r="D228" t="s">
        <v>57</v>
      </c>
      <c r="E228" t="s">
        <v>43</v>
      </c>
      <c r="F228" t="s">
        <v>39</v>
      </c>
      <c r="G228">
        <v>343</v>
      </c>
      <c r="H228">
        <v>10</v>
      </c>
      <c r="I228">
        <v>3430</v>
      </c>
      <c r="J228">
        <v>3.9</v>
      </c>
      <c r="K228" t="s">
        <v>18</v>
      </c>
      <c r="L228">
        <v>1</v>
      </c>
      <c r="M228" t="str">
        <f t="shared" si="9"/>
        <v>January</v>
      </c>
      <c r="N228">
        <v>2025</v>
      </c>
      <c r="O228">
        <f t="shared" si="10"/>
        <v>2401</v>
      </c>
      <c r="P228">
        <f t="shared" si="11"/>
        <v>1029</v>
      </c>
    </row>
    <row r="229" spans="1:16">
      <c r="A229">
        <v>228</v>
      </c>
      <c r="B229" t="s">
        <v>64</v>
      </c>
      <c r="C229" t="s">
        <v>180</v>
      </c>
      <c r="D229" t="s">
        <v>42</v>
      </c>
      <c r="E229" t="s">
        <v>43</v>
      </c>
      <c r="F229" t="s">
        <v>17</v>
      </c>
      <c r="G229">
        <v>474</v>
      </c>
      <c r="H229">
        <v>13</v>
      </c>
      <c r="I229">
        <v>6162</v>
      </c>
      <c r="J229">
        <v>3.3</v>
      </c>
      <c r="K229" t="s">
        <v>47</v>
      </c>
      <c r="L229">
        <v>11</v>
      </c>
      <c r="M229" t="str">
        <f t="shared" si="9"/>
        <v>November</v>
      </c>
      <c r="N229">
        <v>2025</v>
      </c>
      <c r="O229">
        <f t="shared" si="10"/>
        <v>4313.3999999999996</v>
      </c>
      <c r="P229">
        <f t="shared" si="11"/>
        <v>1848.6000000000004</v>
      </c>
    </row>
    <row r="230" spans="1:16">
      <c r="A230">
        <v>229</v>
      </c>
      <c r="B230" t="s">
        <v>44</v>
      </c>
      <c r="C230" t="s">
        <v>181</v>
      </c>
      <c r="D230" t="s">
        <v>21</v>
      </c>
      <c r="E230" t="s">
        <v>50</v>
      </c>
      <c r="F230" t="s">
        <v>34</v>
      </c>
      <c r="G230">
        <v>682</v>
      </c>
      <c r="H230">
        <v>9</v>
      </c>
      <c r="I230">
        <v>6138</v>
      </c>
      <c r="J230">
        <v>3.9</v>
      </c>
      <c r="K230" t="s">
        <v>23</v>
      </c>
      <c r="L230">
        <v>2</v>
      </c>
      <c r="M230" t="str">
        <f t="shared" si="9"/>
        <v>February</v>
      </c>
      <c r="N230">
        <v>2025</v>
      </c>
      <c r="O230">
        <f t="shared" si="10"/>
        <v>4296.5999999999995</v>
      </c>
      <c r="P230">
        <f t="shared" si="11"/>
        <v>1841.4000000000005</v>
      </c>
    </row>
    <row r="231" spans="1:16">
      <c r="A231">
        <v>230</v>
      </c>
      <c r="B231" t="s">
        <v>36</v>
      </c>
      <c r="C231" t="s">
        <v>49</v>
      </c>
      <c r="D231" t="s">
        <v>60</v>
      </c>
      <c r="E231" t="s">
        <v>43</v>
      </c>
      <c r="F231" t="s">
        <v>34</v>
      </c>
      <c r="G231">
        <v>501</v>
      </c>
      <c r="H231">
        <v>14</v>
      </c>
      <c r="I231">
        <v>7014</v>
      </c>
      <c r="J231">
        <v>4.4000000000000004</v>
      </c>
      <c r="K231" t="s">
        <v>47</v>
      </c>
      <c r="L231">
        <v>4</v>
      </c>
      <c r="M231" t="str">
        <f t="shared" si="9"/>
        <v>April</v>
      </c>
      <c r="N231">
        <v>2025</v>
      </c>
      <c r="O231">
        <f t="shared" si="10"/>
        <v>4909.7999999999993</v>
      </c>
      <c r="P231">
        <f t="shared" si="11"/>
        <v>2104.2000000000007</v>
      </c>
    </row>
    <row r="232" spans="1:16">
      <c r="A232">
        <v>231</v>
      </c>
      <c r="B232" t="s">
        <v>40</v>
      </c>
      <c r="C232" t="s">
        <v>61</v>
      </c>
      <c r="D232" t="s">
        <v>57</v>
      </c>
      <c r="E232" t="s">
        <v>16</v>
      </c>
      <c r="F232" t="s">
        <v>17</v>
      </c>
      <c r="G232">
        <v>1173</v>
      </c>
      <c r="H232">
        <v>16</v>
      </c>
      <c r="I232">
        <v>18768</v>
      </c>
      <c r="J232">
        <v>4.9000000000000004</v>
      </c>
      <c r="K232" t="s">
        <v>23</v>
      </c>
      <c r="L232">
        <v>10</v>
      </c>
      <c r="M232" t="str">
        <f t="shared" si="9"/>
        <v>October</v>
      </c>
      <c r="N232">
        <v>2025</v>
      </c>
      <c r="O232">
        <f t="shared" si="10"/>
        <v>13137.599999999999</v>
      </c>
      <c r="P232">
        <f t="shared" si="11"/>
        <v>5630.4000000000015</v>
      </c>
    </row>
    <row r="233" spans="1:16">
      <c r="A233">
        <v>232</v>
      </c>
      <c r="B233" t="s">
        <v>58</v>
      </c>
      <c r="C233" t="s">
        <v>137</v>
      </c>
      <c r="D233" t="s">
        <v>15</v>
      </c>
      <c r="E233" t="s">
        <v>50</v>
      </c>
      <c r="F233" t="s">
        <v>27</v>
      </c>
      <c r="G233">
        <v>1084</v>
      </c>
      <c r="H233">
        <v>3</v>
      </c>
      <c r="I233">
        <v>3252</v>
      </c>
      <c r="J233">
        <v>3.6</v>
      </c>
      <c r="K233" t="s">
        <v>18</v>
      </c>
      <c r="L233">
        <v>12</v>
      </c>
      <c r="M233" t="str">
        <f t="shared" si="9"/>
        <v>December</v>
      </c>
      <c r="N233">
        <v>2025</v>
      </c>
      <c r="O233">
        <f t="shared" si="10"/>
        <v>2276.3999999999996</v>
      </c>
      <c r="P233">
        <f t="shared" si="11"/>
        <v>975.60000000000036</v>
      </c>
    </row>
    <row r="234" spans="1:16">
      <c r="A234">
        <v>233</v>
      </c>
      <c r="B234" t="s">
        <v>36</v>
      </c>
      <c r="C234" t="s">
        <v>170</v>
      </c>
      <c r="D234" t="s">
        <v>26</v>
      </c>
      <c r="E234" t="s">
        <v>43</v>
      </c>
      <c r="F234" t="s">
        <v>34</v>
      </c>
      <c r="G234">
        <v>647</v>
      </c>
      <c r="H234">
        <v>16</v>
      </c>
      <c r="I234">
        <v>10352</v>
      </c>
      <c r="J234">
        <v>4.7</v>
      </c>
      <c r="K234" t="s">
        <v>35</v>
      </c>
      <c r="L234">
        <v>8</v>
      </c>
      <c r="M234" t="str">
        <f t="shared" si="9"/>
        <v>August</v>
      </c>
      <c r="N234">
        <v>2025</v>
      </c>
      <c r="O234">
        <f t="shared" si="10"/>
        <v>7246.4</v>
      </c>
      <c r="P234">
        <f t="shared" si="11"/>
        <v>3105.6000000000004</v>
      </c>
    </row>
    <row r="235" spans="1:16">
      <c r="A235">
        <v>234</v>
      </c>
      <c r="B235" t="s">
        <v>24</v>
      </c>
      <c r="C235" t="s">
        <v>172</v>
      </c>
      <c r="D235" t="s">
        <v>26</v>
      </c>
      <c r="E235" t="s">
        <v>33</v>
      </c>
      <c r="F235" t="s">
        <v>63</v>
      </c>
      <c r="G235">
        <v>393</v>
      </c>
      <c r="H235">
        <v>13</v>
      </c>
      <c r="I235">
        <v>5109</v>
      </c>
      <c r="J235">
        <v>4</v>
      </c>
      <c r="K235" t="s">
        <v>47</v>
      </c>
      <c r="L235">
        <v>3</v>
      </c>
      <c r="M235" t="str">
        <f t="shared" si="9"/>
        <v>March</v>
      </c>
      <c r="N235">
        <v>2025</v>
      </c>
      <c r="O235">
        <f t="shared" si="10"/>
        <v>3576.2999999999997</v>
      </c>
      <c r="P235">
        <f t="shared" si="11"/>
        <v>1532.7000000000003</v>
      </c>
    </row>
    <row r="236" spans="1:16">
      <c r="A236">
        <v>235</v>
      </c>
      <c r="B236" t="s">
        <v>40</v>
      </c>
      <c r="C236" t="s">
        <v>161</v>
      </c>
      <c r="D236" t="s">
        <v>57</v>
      </c>
      <c r="E236" t="s">
        <v>50</v>
      </c>
      <c r="F236" t="s">
        <v>27</v>
      </c>
      <c r="G236">
        <v>877</v>
      </c>
      <c r="H236">
        <v>10</v>
      </c>
      <c r="I236">
        <v>8770</v>
      </c>
      <c r="J236">
        <v>3.1</v>
      </c>
      <c r="K236" t="s">
        <v>23</v>
      </c>
      <c r="L236">
        <v>11</v>
      </c>
      <c r="M236" t="str">
        <f t="shared" si="9"/>
        <v>November</v>
      </c>
      <c r="N236">
        <v>2025</v>
      </c>
      <c r="O236">
        <f t="shared" si="10"/>
        <v>6139</v>
      </c>
      <c r="P236">
        <f t="shared" si="11"/>
        <v>2631</v>
      </c>
    </row>
    <row r="237" spans="1:16">
      <c r="A237">
        <v>236</v>
      </c>
      <c r="B237" t="s">
        <v>40</v>
      </c>
      <c r="C237" t="s">
        <v>182</v>
      </c>
      <c r="D237" t="s">
        <v>15</v>
      </c>
      <c r="E237" t="s">
        <v>33</v>
      </c>
      <c r="F237" t="s">
        <v>34</v>
      </c>
      <c r="G237">
        <v>917</v>
      </c>
      <c r="H237">
        <v>16</v>
      </c>
      <c r="I237">
        <v>14672</v>
      </c>
      <c r="J237">
        <v>3.6</v>
      </c>
      <c r="K237" t="s">
        <v>47</v>
      </c>
      <c r="L237">
        <v>8</v>
      </c>
      <c r="M237" t="str">
        <f t="shared" si="9"/>
        <v>August</v>
      </c>
      <c r="N237">
        <v>2025</v>
      </c>
      <c r="O237">
        <f t="shared" si="10"/>
        <v>10270.4</v>
      </c>
      <c r="P237">
        <f t="shared" si="11"/>
        <v>4401.6000000000004</v>
      </c>
    </row>
    <row r="238" spans="1:16">
      <c r="A238">
        <v>237</v>
      </c>
      <c r="B238" t="s">
        <v>13</v>
      </c>
      <c r="C238" t="s">
        <v>80</v>
      </c>
      <c r="D238" t="s">
        <v>32</v>
      </c>
      <c r="E238" t="s">
        <v>33</v>
      </c>
      <c r="F238" t="s">
        <v>22</v>
      </c>
      <c r="G238">
        <v>1050</v>
      </c>
      <c r="H238">
        <v>5</v>
      </c>
      <c r="I238">
        <v>5250</v>
      </c>
      <c r="J238">
        <v>4.4000000000000004</v>
      </c>
      <c r="K238" t="s">
        <v>23</v>
      </c>
      <c r="L238">
        <v>6</v>
      </c>
      <c r="M238" t="str">
        <f t="shared" si="9"/>
        <v>June</v>
      </c>
      <c r="N238">
        <v>2025</v>
      </c>
      <c r="O238">
        <f t="shared" si="10"/>
        <v>3674.9999999999995</v>
      </c>
      <c r="P238">
        <f t="shared" si="11"/>
        <v>1575.0000000000005</v>
      </c>
    </row>
    <row r="239" spans="1:16">
      <c r="A239">
        <v>238</v>
      </c>
      <c r="B239" t="s">
        <v>24</v>
      </c>
      <c r="C239" t="s">
        <v>183</v>
      </c>
      <c r="D239" t="s">
        <v>60</v>
      </c>
      <c r="E239" t="s">
        <v>33</v>
      </c>
      <c r="F239" t="s">
        <v>22</v>
      </c>
      <c r="G239">
        <v>1487</v>
      </c>
      <c r="H239">
        <v>10</v>
      </c>
      <c r="I239">
        <v>14870</v>
      </c>
      <c r="J239">
        <v>3</v>
      </c>
      <c r="K239" t="s">
        <v>28</v>
      </c>
      <c r="L239">
        <v>7</v>
      </c>
      <c r="M239" t="str">
        <f t="shared" si="9"/>
        <v>July</v>
      </c>
      <c r="N239">
        <v>2025</v>
      </c>
      <c r="O239">
        <f t="shared" si="10"/>
        <v>10409</v>
      </c>
      <c r="P239">
        <f t="shared" si="11"/>
        <v>4461</v>
      </c>
    </row>
    <row r="240" spans="1:16">
      <c r="A240">
        <v>239</v>
      </c>
      <c r="B240" t="s">
        <v>24</v>
      </c>
      <c r="C240" t="s">
        <v>184</v>
      </c>
      <c r="D240" t="s">
        <v>30</v>
      </c>
      <c r="E240" t="s">
        <v>33</v>
      </c>
      <c r="F240" t="s">
        <v>63</v>
      </c>
      <c r="G240">
        <v>1234</v>
      </c>
      <c r="H240">
        <v>6</v>
      </c>
      <c r="I240">
        <v>7404</v>
      </c>
      <c r="J240">
        <v>4.2</v>
      </c>
      <c r="K240" t="s">
        <v>35</v>
      </c>
      <c r="L240">
        <v>7</v>
      </c>
      <c r="M240" t="str">
        <f t="shared" si="9"/>
        <v>July</v>
      </c>
      <c r="N240">
        <v>2025</v>
      </c>
      <c r="O240">
        <f t="shared" si="10"/>
        <v>5182.7999999999993</v>
      </c>
      <c r="P240">
        <f t="shared" si="11"/>
        <v>2221.2000000000007</v>
      </c>
    </row>
    <row r="241" spans="1:16">
      <c r="A241">
        <v>240</v>
      </c>
      <c r="B241" t="s">
        <v>64</v>
      </c>
      <c r="C241" t="s">
        <v>115</v>
      </c>
      <c r="D241" t="s">
        <v>57</v>
      </c>
      <c r="E241" t="s">
        <v>43</v>
      </c>
      <c r="F241" t="s">
        <v>22</v>
      </c>
      <c r="G241">
        <v>1071</v>
      </c>
      <c r="H241">
        <v>3</v>
      </c>
      <c r="I241">
        <v>3213</v>
      </c>
      <c r="J241">
        <v>4.8</v>
      </c>
      <c r="K241" t="s">
        <v>28</v>
      </c>
      <c r="L241">
        <v>6</v>
      </c>
      <c r="M241" t="str">
        <f t="shared" si="9"/>
        <v>June</v>
      </c>
      <c r="N241">
        <v>2025</v>
      </c>
      <c r="O241">
        <f t="shared" si="10"/>
        <v>2249.1</v>
      </c>
      <c r="P241">
        <f t="shared" si="11"/>
        <v>963.90000000000009</v>
      </c>
    </row>
    <row r="242" spans="1:16">
      <c r="A242">
        <v>241</v>
      </c>
      <c r="B242" t="s">
        <v>24</v>
      </c>
      <c r="C242" t="s">
        <v>185</v>
      </c>
      <c r="D242" t="s">
        <v>38</v>
      </c>
      <c r="E242" t="s">
        <v>43</v>
      </c>
      <c r="F242" t="s">
        <v>39</v>
      </c>
      <c r="G242">
        <v>318</v>
      </c>
      <c r="H242">
        <v>11</v>
      </c>
      <c r="I242">
        <v>3498</v>
      </c>
      <c r="J242">
        <v>4.5</v>
      </c>
      <c r="K242" t="s">
        <v>35</v>
      </c>
      <c r="L242">
        <v>6</v>
      </c>
      <c r="M242" t="str">
        <f t="shared" si="9"/>
        <v>June</v>
      </c>
      <c r="N242">
        <v>2025</v>
      </c>
      <c r="O242">
        <f t="shared" si="10"/>
        <v>2448.6</v>
      </c>
      <c r="P242">
        <f t="shared" si="11"/>
        <v>1049.4000000000001</v>
      </c>
    </row>
    <row r="243" spans="1:16">
      <c r="A243">
        <v>242</v>
      </c>
      <c r="B243" t="s">
        <v>55</v>
      </c>
      <c r="C243" t="s">
        <v>186</v>
      </c>
      <c r="D243" t="s">
        <v>57</v>
      </c>
      <c r="E243" t="s">
        <v>33</v>
      </c>
      <c r="F243" t="s">
        <v>22</v>
      </c>
      <c r="G243">
        <v>922</v>
      </c>
      <c r="H243">
        <v>10</v>
      </c>
      <c r="I243">
        <v>9220</v>
      </c>
      <c r="J243">
        <v>3.8</v>
      </c>
      <c r="K243" t="s">
        <v>28</v>
      </c>
      <c r="L243">
        <v>6</v>
      </c>
      <c r="M243" t="str">
        <f t="shared" si="9"/>
        <v>June</v>
      </c>
      <c r="N243">
        <v>2025</v>
      </c>
      <c r="O243">
        <f t="shared" si="10"/>
        <v>6454</v>
      </c>
      <c r="P243">
        <f t="shared" si="11"/>
        <v>2766</v>
      </c>
    </row>
    <row r="244" spans="1:16">
      <c r="A244">
        <v>243</v>
      </c>
      <c r="B244" t="s">
        <v>13</v>
      </c>
      <c r="C244" t="s">
        <v>187</v>
      </c>
      <c r="D244" t="s">
        <v>32</v>
      </c>
      <c r="E244" t="s">
        <v>50</v>
      </c>
      <c r="F244" t="s">
        <v>22</v>
      </c>
      <c r="G244">
        <v>1245</v>
      </c>
      <c r="H244">
        <v>17</v>
      </c>
      <c r="I244">
        <v>21165</v>
      </c>
      <c r="J244">
        <v>3.4</v>
      </c>
      <c r="K244" t="s">
        <v>47</v>
      </c>
      <c r="L244">
        <v>10</v>
      </c>
      <c r="M244" t="str">
        <f t="shared" si="9"/>
        <v>October</v>
      </c>
      <c r="N244">
        <v>2025</v>
      </c>
      <c r="O244">
        <f t="shared" si="10"/>
        <v>14815.499999999998</v>
      </c>
      <c r="P244">
        <f t="shared" si="11"/>
        <v>6349.5000000000018</v>
      </c>
    </row>
    <row r="245" spans="1:16">
      <c r="A245">
        <v>244</v>
      </c>
      <c r="B245" t="s">
        <v>36</v>
      </c>
      <c r="C245" t="s">
        <v>188</v>
      </c>
      <c r="D245" t="s">
        <v>38</v>
      </c>
      <c r="E245" t="s">
        <v>43</v>
      </c>
      <c r="F245" t="s">
        <v>27</v>
      </c>
      <c r="G245">
        <v>713</v>
      </c>
      <c r="H245">
        <v>19</v>
      </c>
      <c r="I245">
        <v>13547</v>
      </c>
      <c r="J245">
        <v>3.2</v>
      </c>
      <c r="K245" t="s">
        <v>28</v>
      </c>
      <c r="L245">
        <v>5</v>
      </c>
      <c r="M245" t="str">
        <f t="shared" si="9"/>
        <v>May</v>
      </c>
      <c r="N245">
        <v>2025</v>
      </c>
      <c r="O245">
        <f t="shared" si="10"/>
        <v>9482.9</v>
      </c>
      <c r="P245">
        <f t="shared" si="11"/>
        <v>4064.1000000000004</v>
      </c>
    </row>
    <row r="246" spans="1:16">
      <c r="A246">
        <v>245</v>
      </c>
      <c r="B246" t="s">
        <v>19</v>
      </c>
      <c r="C246" t="s">
        <v>175</v>
      </c>
      <c r="D246" t="s">
        <v>60</v>
      </c>
      <c r="E246" t="s">
        <v>33</v>
      </c>
      <c r="F246" t="s">
        <v>34</v>
      </c>
      <c r="G246">
        <v>813</v>
      </c>
      <c r="H246">
        <v>4</v>
      </c>
      <c r="I246">
        <v>3252</v>
      </c>
      <c r="J246">
        <v>3.8</v>
      </c>
      <c r="K246" t="s">
        <v>18</v>
      </c>
      <c r="L246">
        <v>3</v>
      </c>
      <c r="M246" t="str">
        <f t="shared" si="9"/>
        <v>March</v>
      </c>
      <c r="N246">
        <v>2025</v>
      </c>
      <c r="O246">
        <f t="shared" si="10"/>
        <v>2276.3999999999996</v>
      </c>
      <c r="P246">
        <f t="shared" si="11"/>
        <v>975.60000000000036</v>
      </c>
    </row>
    <row r="247" spans="1:16">
      <c r="A247">
        <v>246</v>
      </c>
      <c r="B247" t="s">
        <v>69</v>
      </c>
      <c r="C247" t="s">
        <v>125</v>
      </c>
      <c r="D247" t="s">
        <v>57</v>
      </c>
      <c r="E247" t="s">
        <v>16</v>
      </c>
      <c r="F247" t="s">
        <v>22</v>
      </c>
      <c r="G247">
        <v>1069</v>
      </c>
      <c r="H247">
        <v>12</v>
      </c>
      <c r="I247">
        <v>12828</v>
      </c>
      <c r="J247">
        <v>3.8</v>
      </c>
      <c r="K247" t="s">
        <v>18</v>
      </c>
      <c r="L247">
        <v>10</v>
      </c>
      <c r="M247" t="str">
        <f t="shared" si="9"/>
        <v>October</v>
      </c>
      <c r="N247">
        <v>2025</v>
      </c>
      <c r="O247">
        <f t="shared" si="10"/>
        <v>8979.5999999999985</v>
      </c>
      <c r="P247">
        <f t="shared" si="11"/>
        <v>3848.4000000000015</v>
      </c>
    </row>
    <row r="248" spans="1:16">
      <c r="A248">
        <v>247</v>
      </c>
      <c r="B248" t="s">
        <v>44</v>
      </c>
      <c r="C248" t="s">
        <v>114</v>
      </c>
      <c r="D248" t="s">
        <v>42</v>
      </c>
      <c r="E248" t="s">
        <v>16</v>
      </c>
      <c r="F248" t="s">
        <v>39</v>
      </c>
      <c r="G248">
        <v>947</v>
      </c>
      <c r="H248">
        <v>17</v>
      </c>
      <c r="I248">
        <v>16099</v>
      </c>
      <c r="J248">
        <v>3.7</v>
      </c>
      <c r="K248" t="s">
        <v>47</v>
      </c>
      <c r="L248">
        <v>6</v>
      </c>
      <c r="M248" t="str">
        <f t="shared" si="9"/>
        <v>June</v>
      </c>
      <c r="N248">
        <v>2025</v>
      </c>
      <c r="O248">
        <f t="shared" si="10"/>
        <v>11269.3</v>
      </c>
      <c r="P248">
        <f t="shared" si="11"/>
        <v>4829.7000000000007</v>
      </c>
    </row>
    <row r="249" spans="1:16">
      <c r="A249">
        <v>248</v>
      </c>
      <c r="B249" t="s">
        <v>69</v>
      </c>
      <c r="C249" t="s">
        <v>105</v>
      </c>
      <c r="D249" t="s">
        <v>21</v>
      </c>
      <c r="E249" t="s">
        <v>50</v>
      </c>
      <c r="F249" t="s">
        <v>63</v>
      </c>
      <c r="G249">
        <v>1474</v>
      </c>
      <c r="H249">
        <v>7</v>
      </c>
      <c r="I249">
        <v>10318</v>
      </c>
      <c r="J249">
        <v>4.7</v>
      </c>
      <c r="K249" t="s">
        <v>47</v>
      </c>
      <c r="L249">
        <v>4</v>
      </c>
      <c r="M249" t="str">
        <f t="shared" si="9"/>
        <v>April</v>
      </c>
      <c r="N249">
        <v>2025</v>
      </c>
      <c r="O249">
        <f t="shared" si="10"/>
        <v>7222.5999999999995</v>
      </c>
      <c r="P249">
        <f t="shared" si="11"/>
        <v>3095.4000000000005</v>
      </c>
    </row>
    <row r="250" spans="1:16">
      <c r="A250">
        <v>249</v>
      </c>
      <c r="B250" t="s">
        <v>64</v>
      </c>
      <c r="C250" t="s">
        <v>189</v>
      </c>
      <c r="D250" t="s">
        <v>38</v>
      </c>
      <c r="E250" t="s">
        <v>33</v>
      </c>
      <c r="F250" t="s">
        <v>39</v>
      </c>
      <c r="G250">
        <v>1135</v>
      </c>
      <c r="H250">
        <v>9</v>
      </c>
      <c r="I250">
        <v>10215</v>
      </c>
      <c r="J250">
        <v>3.5</v>
      </c>
      <c r="K250" t="s">
        <v>47</v>
      </c>
      <c r="L250">
        <v>8</v>
      </c>
      <c r="M250" t="str">
        <f t="shared" si="9"/>
        <v>August</v>
      </c>
      <c r="N250">
        <v>2025</v>
      </c>
      <c r="O250">
        <f t="shared" si="10"/>
        <v>7150.5</v>
      </c>
      <c r="P250">
        <f t="shared" si="11"/>
        <v>3064.5</v>
      </c>
    </row>
    <row r="251" spans="1:16">
      <c r="A251">
        <v>250</v>
      </c>
      <c r="B251" t="s">
        <v>69</v>
      </c>
      <c r="C251" t="s">
        <v>99</v>
      </c>
      <c r="D251" t="s">
        <v>42</v>
      </c>
      <c r="E251" t="s">
        <v>16</v>
      </c>
      <c r="F251" t="s">
        <v>63</v>
      </c>
      <c r="G251">
        <v>1050</v>
      </c>
      <c r="H251">
        <v>5</v>
      </c>
      <c r="I251">
        <v>5250</v>
      </c>
      <c r="J251">
        <v>3</v>
      </c>
      <c r="K251" t="s">
        <v>23</v>
      </c>
      <c r="L251">
        <v>7</v>
      </c>
      <c r="M251" t="str">
        <f t="shared" si="9"/>
        <v>July</v>
      </c>
      <c r="N251">
        <v>2025</v>
      </c>
      <c r="O251">
        <f t="shared" si="10"/>
        <v>3674.9999999999995</v>
      </c>
      <c r="P251">
        <f t="shared" si="11"/>
        <v>1575.0000000000005</v>
      </c>
    </row>
    <row r="252" spans="1:16">
      <c r="A252">
        <v>251</v>
      </c>
      <c r="B252" t="s">
        <v>24</v>
      </c>
      <c r="C252" t="s">
        <v>185</v>
      </c>
      <c r="D252" t="s">
        <v>38</v>
      </c>
      <c r="E252" t="s">
        <v>50</v>
      </c>
      <c r="F252" t="s">
        <v>63</v>
      </c>
      <c r="G252">
        <v>1216</v>
      </c>
      <c r="H252">
        <v>4</v>
      </c>
      <c r="I252">
        <v>4864</v>
      </c>
      <c r="J252">
        <v>4.5</v>
      </c>
      <c r="K252" t="s">
        <v>28</v>
      </c>
      <c r="L252">
        <v>6</v>
      </c>
      <c r="M252" t="str">
        <f t="shared" si="9"/>
        <v>June</v>
      </c>
      <c r="N252">
        <v>2025</v>
      </c>
      <c r="O252">
        <f t="shared" si="10"/>
        <v>3404.7999999999997</v>
      </c>
      <c r="P252">
        <f t="shared" si="11"/>
        <v>1459.2000000000003</v>
      </c>
    </row>
    <row r="253" spans="1:16">
      <c r="A253">
        <v>252</v>
      </c>
      <c r="B253" t="s">
        <v>55</v>
      </c>
      <c r="C253" t="s">
        <v>56</v>
      </c>
      <c r="D253" t="s">
        <v>60</v>
      </c>
      <c r="E253" t="s">
        <v>16</v>
      </c>
      <c r="F253" t="s">
        <v>22</v>
      </c>
      <c r="G253">
        <v>592</v>
      </c>
      <c r="H253">
        <v>5</v>
      </c>
      <c r="I253">
        <v>2960</v>
      </c>
      <c r="J253">
        <v>4.4000000000000004</v>
      </c>
      <c r="K253" t="s">
        <v>35</v>
      </c>
      <c r="L253">
        <v>10</v>
      </c>
      <c r="M253" t="str">
        <f t="shared" si="9"/>
        <v>October</v>
      </c>
      <c r="N253">
        <v>2025</v>
      </c>
      <c r="O253">
        <f t="shared" si="10"/>
        <v>2072</v>
      </c>
      <c r="P253">
        <f t="shared" si="11"/>
        <v>888</v>
      </c>
    </row>
    <row r="254" spans="1:16">
      <c r="A254">
        <v>253</v>
      </c>
      <c r="B254" t="s">
        <v>24</v>
      </c>
      <c r="C254" t="s">
        <v>152</v>
      </c>
      <c r="D254" t="s">
        <v>38</v>
      </c>
      <c r="E254" t="s">
        <v>43</v>
      </c>
      <c r="F254" t="s">
        <v>17</v>
      </c>
      <c r="G254">
        <v>734</v>
      </c>
      <c r="H254">
        <v>7</v>
      </c>
      <c r="I254">
        <v>5138</v>
      </c>
      <c r="J254">
        <v>4.5999999999999996</v>
      </c>
      <c r="K254" t="s">
        <v>47</v>
      </c>
      <c r="L254">
        <v>12</v>
      </c>
      <c r="M254" t="str">
        <f t="shared" si="9"/>
        <v>December</v>
      </c>
      <c r="N254">
        <v>2025</v>
      </c>
      <c r="O254">
        <f t="shared" si="10"/>
        <v>3596.6</v>
      </c>
      <c r="P254">
        <f t="shared" si="11"/>
        <v>1541.4</v>
      </c>
    </row>
    <row r="255" spans="1:16">
      <c r="A255">
        <v>254</v>
      </c>
      <c r="B255" t="s">
        <v>19</v>
      </c>
      <c r="C255" t="s">
        <v>120</v>
      </c>
      <c r="D255" t="s">
        <v>60</v>
      </c>
      <c r="E255" t="s">
        <v>43</v>
      </c>
      <c r="F255" t="s">
        <v>17</v>
      </c>
      <c r="G255">
        <v>888</v>
      </c>
      <c r="H255">
        <v>10</v>
      </c>
      <c r="I255">
        <v>8880</v>
      </c>
      <c r="J255">
        <v>4.2</v>
      </c>
      <c r="K255" t="s">
        <v>35</v>
      </c>
      <c r="L255">
        <v>8</v>
      </c>
      <c r="M255" t="str">
        <f t="shared" si="9"/>
        <v>August</v>
      </c>
      <c r="N255">
        <v>2025</v>
      </c>
      <c r="O255">
        <f t="shared" si="10"/>
        <v>6216</v>
      </c>
      <c r="P255">
        <f t="shared" si="11"/>
        <v>2664</v>
      </c>
    </row>
    <row r="256" spans="1:16">
      <c r="A256">
        <v>255</v>
      </c>
      <c r="B256" t="s">
        <v>36</v>
      </c>
      <c r="C256" t="s">
        <v>190</v>
      </c>
      <c r="D256" t="s">
        <v>30</v>
      </c>
      <c r="E256" t="s">
        <v>16</v>
      </c>
      <c r="F256" t="s">
        <v>63</v>
      </c>
      <c r="G256">
        <v>530</v>
      </c>
      <c r="H256">
        <v>7</v>
      </c>
      <c r="I256">
        <v>3710</v>
      </c>
      <c r="J256">
        <v>4.3</v>
      </c>
      <c r="K256" t="s">
        <v>35</v>
      </c>
      <c r="L256">
        <v>8</v>
      </c>
      <c r="M256" t="str">
        <f t="shared" si="9"/>
        <v>August</v>
      </c>
      <c r="N256">
        <v>2025</v>
      </c>
      <c r="O256">
        <f t="shared" si="10"/>
        <v>2597</v>
      </c>
      <c r="P256">
        <f t="shared" si="11"/>
        <v>1113</v>
      </c>
    </row>
    <row r="257" spans="1:16">
      <c r="A257">
        <v>256</v>
      </c>
      <c r="B257" t="s">
        <v>69</v>
      </c>
      <c r="C257" t="s">
        <v>131</v>
      </c>
      <c r="D257" t="s">
        <v>60</v>
      </c>
      <c r="E257" t="s">
        <v>33</v>
      </c>
      <c r="F257" t="s">
        <v>27</v>
      </c>
      <c r="G257">
        <v>319</v>
      </c>
      <c r="H257">
        <v>9</v>
      </c>
      <c r="I257">
        <v>2871</v>
      </c>
      <c r="J257">
        <v>3.3</v>
      </c>
      <c r="K257" t="s">
        <v>35</v>
      </c>
      <c r="L257">
        <v>12</v>
      </c>
      <c r="M257" t="str">
        <f t="shared" si="9"/>
        <v>December</v>
      </c>
      <c r="N257">
        <v>2025</v>
      </c>
      <c r="O257">
        <f t="shared" si="10"/>
        <v>2009.6999999999998</v>
      </c>
      <c r="P257">
        <f t="shared" si="11"/>
        <v>861.30000000000018</v>
      </c>
    </row>
    <row r="258" spans="1:16">
      <c r="A258">
        <v>257</v>
      </c>
      <c r="B258" t="s">
        <v>64</v>
      </c>
      <c r="C258" t="s">
        <v>140</v>
      </c>
      <c r="D258" t="s">
        <v>21</v>
      </c>
      <c r="E258" t="s">
        <v>50</v>
      </c>
      <c r="F258" t="s">
        <v>39</v>
      </c>
      <c r="G258">
        <v>322</v>
      </c>
      <c r="H258">
        <v>18</v>
      </c>
      <c r="I258">
        <v>5796</v>
      </c>
      <c r="J258">
        <v>3.3</v>
      </c>
      <c r="K258" t="s">
        <v>47</v>
      </c>
      <c r="L258">
        <v>1</v>
      </c>
      <c r="M258" t="str">
        <f t="shared" si="9"/>
        <v>January</v>
      </c>
      <c r="N258">
        <v>2025</v>
      </c>
      <c r="O258">
        <f t="shared" si="10"/>
        <v>4057.2</v>
      </c>
      <c r="P258">
        <f t="shared" si="11"/>
        <v>1738.8000000000002</v>
      </c>
    </row>
    <row r="259" spans="1:16">
      <c r="A259">
        <v>258</v>
      </c>
      <c r="B259" t="s">
        <v>44</v>
      </c>
      <c r="C259" t="s">
        <v>191</v>
      </c>
      <c r="D259" t="s">
        <v>42</v>
      </c>
      <c r="E259" t="s">
        <v>16</v>
      </c>
      <c r="F259" t="s">
        <v>22</v>
      </c>
      <c r="G259">
        <v>889</v>
      </c>
      <c r="H259">
        <v>12</v>
      </c>
      <c r="I259">
        <v>10668</v>
      </c>
      <c r="J259">
        <v>3.3</v>
      </c>
      <c r="K259" t="s">
        <v>47</v>
      </c>
      <c r="L259">
        <v>7</v>
      </c>
      <c r="M259" t="str">
        <f t="shared" ref="M259:M322" si="12">TEXT(DATE(2025, L259, 1), "mmmm")</f>
        <v>July</v>
      </c>
      <c r="N259">
        <v>2025</v>
      </c>
      <c r="O259">
        <f t="shared" ref="O259:O322" si="13">I259*0.7</f>
        <v>7467.5999999999995</v>
      </c>
      <c r="P259">
        <f t="shared" ref="P259:P322" si="14">I259-O259</f>
        <v>3200.4000000000005</v>
      </c>
    </row>
    <row r="260" spans="1:16">
      <c r="A260">
        <v>259</v>
      </c>
      <c r="B260" t="s">
        <v>40</v>
      </c>
      <c r="C260" t="s">
        <v>138</v>
      </c>
      <c r="D260" t="s">
        <v>26</v>
      </c>
      <c r="E260" t="s">
        <v>50</v>
      </c>
      <c r="F260" t="s">
        <v>22</v>
      </c>
      <c r="G260">
        <v>986</v>
      </c>
      <c r="H260">
        <v>10</v>
      </c>
      <c r="I260">
        <v>9860</v>
      </c>
      <c r="J260">
        <v>4.3</v>
      </c>
      <c r="K260" t="s">
        <v>35</v>
      </c>
      <c r="L260">
        <v>9</v>
      </c>
      <c r="M260" t="str">
        <f t="shared" si="12"/>
        <v>September</v>
      </c>
      <c r="N260">
        <v>2025</v>
      </c>
      <c r="O260">
        <f t="shared" si="13"/>
        <v>6902</v>
      </c>
      <c r="P260">
        <f t="shared" si="14"/>
        <v>2958</v>
      </c>
    </row>
    <row r="261" spans="1:16">
      <c r="A261">
        <v>260</v>
      </c>
      <c r="B261" t="s">
        <v>19</v>
      </c>
      <c r="C261" t="s">
        <v>130</v>
      </c>
      <c r="D261" t="s">
        <v>38</v>
      </c>
      <c r="E261" t="s">
        <v>50</v>
      </c>
      <c r="F261" t="s">
        <v>17</v>
      </c>
      <c r="G261">
        <v>1500</v>
      </c>
      <c r="H261">
        <v>11</v>
      </c>
      <c r="I261">
        <v>16500</v>
      </c>
      <c r="J261">
        <v>3.5</v>
      </c>
      <c r="K261" t="s">
        <v>35</v>
      </c>
      <c r="L261">
        <v>5</v>
      </c>
      <c r="M261" t="str">
        <f t="shared" si="12"/>
        <v>May</v>
      </c>
      <c r="N261">
        <v>2025</v>
      </c>
      <c r="O261">
        <f t="shared" si="13"/>
        <v>11550</v>
      </c>
      <c r="P261">
        <f t="shared" si="14"/>
        <v>4950</v>
      </c>
    </row>
    <row r="262" spans="1:16">
      <c r="A262">
        <v>261</v>
      </c>
      <c r="B262" t="s">
        <v>44</v>
      </c>
      <c r="C262" t="s">
        <v>149</v>
      </c>
      <c r="D262" t="s">
        <v>60</v>
      </c>
      <c r="E262" t="s">
        <v>50</v>
      </c>
      <c r="F262" t="s">
        <v>34</v>
      </c>
      <c r="G262">
        <v>1083</v>
      </c>
      <c r="H262">
        <v>18</v>
      </c>
      <c r="I262">
        <v>19494</v>
      </c>
      <c r="J262">
        <v>3.7</v>
      </c>
      <c r="K262" t="s">
        <v>47</v>
      </c>
      <c r="L262">
        <v>9</v>
      </c>
      <c r="M262" t="str">
        <f t="shared" si="12"/>
        <v>September</v>
      </c>
      <c r="N262">
        <v>2025</v>
      </c>
      <c r="O262">
        <f t="shared" si="13"/>
        <v>13645.8</v>
      </c>
      <c r="P262">
        <f t="shared" si="14"/>
        <v>5848.2000000000007</v>
      </c>
    </row>
    <row r="263" spans="1:16">
      <c r="A263">
        <v>262</v>
      </c>
      <c r="B263" t="s">
        <v>64</v>
      </c>
      <c r="C263" t="s">
        <v>180</v>
      </c>
      <c r="D263" t="s">
        <v>26</v>
      </c>
      <c r="E263" t="s">
        <v>33</v>
      </c>
      <c r="F263" t="s">
        <v>39</v>
      </c>
      <c r="G263">
        <v>1340</v>
      </c>
      <c r="H263">
        <v>16</v>
      </c>
      <c r="I263">
        <v>21440</v>
      </c>
      <c r="J263">
        <v>3.1</v>
      </c>
      <c r="K263" t="s">
        <v>28</v>
      </c>
      <c r="L263">
        <v>8</v>
      </c>
      <c r="M263" t="str">
        <f t="shared" si="12"/>
        <v>August</v>
      </c>
      <c r="N263">
        <v>2025</v>
      </c>
      <c r="O263">
        <f t="shared" si="13"/>
        <v>15007.999999999998</v>
      </c>
      <c r="P263">
        <f t="shared" si="14"/>
        <v>6432.0000000000018</v>
      </c>
    </row>
    <row r="264" spans="1:16">
      <c r="A264">
        <v>263</v>
      </c>
      <c r="B264" t="s">
        <v>19</v>
      </c>
      <c r="C264" t="s">
        <v>78</v>
      </c>
      <c r="D264" t="s">
        <v>76</v>
      </c>
      <c r="E264" t="s">
        <v>50</v>
      </c>
      <c r="F264" t="s">
        <v>27</v>
      </c>
      <c r="G264">
        <v>1089</v>
      </c>
      <c r="H264">
        <v>13</v>
      </c>
      <c r="I264">
        <v>14157</v>
      </c>
      <c r="J264">
        <v>3.1</v>
      </c>
      <c r="K264" t="s">
        <v>35</v>
      </c>
      <c r="L264">
        <v>6</v>
      </c>
      <c r="M264" t="str">
        <f t="shared" si="12"/>
        <v>June</v>
      </c>
      <c r="N264">
        <v>2025</v>
      </c>
      <c r="O264">
        <f t="shared" si="13"/>
        <v>9909.9</v>
      </c>
      <c r="P264">
        <f t="shared" si="14"/>
        <v>4247.1000000000004</v>
      </c>
    </row>
    <row r="265" spans="1:16">
      <c r="A265">
        <v>264</v>
      </c>
      <c r="B265" t="s">
        <v>64</v>
      </c>
      <c r="C265" t="s">
        <v>115</v>
      </c>
      <c r="D265" t="s">
        <v>26</v>
      </c>
      <c r="E265" t="s">
        <v>33</v>
      </c>
      <c r="F265" t="s">
        <v>22</v>
      </c>
      <c r="G265">
        <v>581</v>
      </c>
      <c r="H265">
        <v>12</v>
      </c>
      <c r="I265">
        <v>6972</v>
      </c>
      <c r="J265">
        <v>4.7</v>
      </c>
      <c r="K265" t="s">
        <v>18</v>
      </c>
      <c r="L265">
        <v>5</v>
      </c>
      <c r="M265" t="str">
        <f t="shared" si="12"/>
        <v>May</v>
      </c>
      <c r="N265">
        <v>2025</v>
      </c>
      <c r="O265">
        <f t="shared" si="13"/>
        <v>4880.3999999999996</v>
      </c>
      <c r="P265">
        <f t="shared" si="14"/>
        <v>2091.6000000000004</v>
      </c>
    </row>
    <row r="266" spans="1:16">
      <c r="A266">
        <v>265</v>
      </c>
      <c r="B266" t="s">
        <v>58</v>
      </c>
      <c r="C266" t="s">
        <v>158</v>
      </c>
      <c r="D266" t="s">
        <v>60</v>
      </c>
      <c r="E266" t="s">
        <v>50</v>
      </c>
      <c r="F266" t="s">
        <v>17</v>
      </c>
      <c r="G266">
        <v>1341</v>
      </c>
      <c r="H266">
        <v>7</v>
      </c>
      <c r="I266">
        <v>9387</v>
      </c>
      <c r="J266">
        <v>4.2</v>
      </c>
      <c r="K266" t="s">
        <v>18</v>
      </c>
      <c r="L266">
        <v>9</v>
      </c>
      <c r="M266" t="str">
        <f t="shared" si="12"/>
        <v>September</v>
      </c>
      <c r="N266">
        <v>2025</v>
      </c>
      <c r="O266">
        <f t="shared" si="13"/>
        <v>6570.9</v>
      </c>
      <c r="P266">
        <f t="shared" si="14"/>
        <v>2816.1000000000004</v>
      </c>
    </row>
    <row r="267" spans="1:16">
      <c r="A267">
        <v>266</v>
      </c>
      <c r="B267" t="s">
        <v>24</v>
      </c>
      <c r="C267" t="s">
        <v>93</v>
      </c>
      <c r="D267" t="s">
        <v>15</v>
      </c>
      <c r="E267" t="s">
        <v>50</v>
      </c>
      <c r="F267" t="s">
        <v>34</v>
      </c>
      <c r="G267">
        <v>1087</v>
      </c>
      <c r="H267">
        <v>18</v>
      </c>
      <c r="I267">
        <v>19566</v>
      </c>
      <c r="J267">
        <v>3.5</v>
      </c>
      <c r="K267" t="s">
        <v>35</v>
      </c>
      <c r="L267">
        <v>9</v>
      </c>
      <c r="M267" t="str">
        <f t="shared" si="12"/>
        <v>September</v>
      </c>
      <c r="N267">
        <v>2025</v>
      </c>
      <c r="O267">
        <f t="shared" si="13"/>
        <v>13696.199999999999</v>
      </c>
      <c r="P267">
        <f t="shared" si="14"/>
        <v>5869.8000000000011</v>
      </c>
    </row>
    <row r="268" spans="1:16">
      <c r="A268">
        <v>267</v>
      </c>
      <c r="B268" t="s">
        <v>58</v>
      </c>
      <c r="C268" t="s">
        <v>59</v>
      </c>
      <c r="D268" t="s">
        <v>30</v>
      </c>
      <c r="E268" t="s">
        <v>33</v>
      </c>
      <c r="F268" t="s">
        <v>27</v>
      </c>
      <c r="G268">
        <v>1094</v>
      </c>
      <c r="H268">
        <v>13</v>
      </c>
      <c r="I268">
        <v>14222</v>
      </c>
      <c r="J268">
        <v>3.2</v>
      </c>
      <c r="K268" t="s">
        <v>23</v>
      </c>
      <c r="L268">
        <v>5</v>
      </c>
      <c r="M268" t="str">
        <f t="shared" si="12"/>
        <v>May</v>
      </c>
      <c r="N268">
        <v>2025</v>
      </c>
      <c r="O268">
        <f t="shared" si="13"/>
        <v>9955.4</v>
      </c>
      <c r="P268">
        <f t="shared" si="14"/>
        <v>4266.6000000000004</v>
      </c>
    </row>
    <row r="269" spans="1:16">
      <c r="A269">
        <v>268</v>
      </c>
      <c r="B269" t="s">
        <v>44</v>
      </c>
      <c r="C269" t="s">
        <v>101</v>
      </c>
      <c r="D269" t="s">
        <v>60</v>
      </c>
      <c r="E269" t="s">
        <v>16</v>
      </c>
      <c r="F269" t="s">
        <v>34</v>
      </c>
      <c r="G269">
        <v>1247</v>
      </c>
      <c r="H269">
        <v>12</v>
      </c>
      <c r="I269">
        <v>14964</v>
      </c>
      <c r="J269">
        <v>4.0999999999999996</v>
      </c>
      <c r="K269" t="s">
        <v>28</v>
      </c>
      <c r="L269">
        <v>10</v>
      </c>
      <c r="M269" t="str">
        <f t="shared" si="12"/>
        <v>October</v>
      </c>
      <c r="N269">
        <v>2025</v>
      </c>
      <c r="O269">
        <f t="shared" si="13"/>
        <v>10474.799999999999</v>
      </c>
      <c r="P269">
        <f t="shared" si="14"/>
        <v>4489.2000000000007</v>
      </c>
    </row>
    <row r="270" spans="1:16">
      <c r="A270">
        <v>269</v>
      </c>
      <c r="B270" t="s">
        <v>58</v>
      </c>
      <c r="C270" t="s">
        <v>192</v>
      </c>
      <c r="D270" t="s">
        <v>76</v>
      </c>
      <c r="E270" t="s">
        <v>33</v>
      </c>
      <c r="F270" t="s">
        <v>39</v>
      </c>
      <c r="G270">
        <v>715</v>
      </c>
      <c r="H270">
        <v>3</v>
      </c>
      <c r="I270">
        <v>2145</v>
      </c>
      <c r="J270">
        <v>4.3</v>
      </c>
      <c r="K270" t="s">
        <v>35</v>
      </c>
      <c r="L270">
        <v>2</v>
      </c>
      <c r="M270" t="str">
        <f t="shared" si="12"/>
        <v>February</v>
      </c>
      <c r="N270">
        <v>2025</v>
      </c>
      <c r="O270">
        <f t="shared" si="13"/>
        <v>1501.5</v>
      </c>
      <c r="P270">
        <f t="shared" si="14"/>
        <v>643.5</v>
      </c>
    </row>
    <row r="271" spans="1:16">
      <c r="A271">
        <v>270</v>
      </c>
      <c r="B271" t="s">
        <v>58</v>
      </c>
      <c r="C271" t="s">
        <v>118</v>
      </c>
      <c r="D271" t="s">
        <v>32</v>
      </c>
      <c r="E271" t="s">
        <v>33</v>
      </c>
      <c r="F271" t="s">
        <v>22</v>
      </c>
      <c r="G271">
        <v>1015</v>
      </c>
      <c r="H271">
        <v>8</v>
      </c>
      <c r="I271">
        <v>8120</v>
      </c>
      <c r="J271">
        <v>4</v>
      </c>
      <c r="K271" t="s">
        <v>28</v>
      </c>
      <c r="L271">
        <v>7</v>
      </c>
      <c r="M271" t="str">
        <f t="shared" si="12"/>
        <v>July</v>
      </c>
      <c r="N271">
        <v>2025</v>
      </c>
      <c r="O271">
        <f t="shared" si="13"/>
        <v>5684</v>
      </c>
      <c r="P271">
        <f t="shared" si="14"/>
        <v>2436</v>
      </c>
    </row>
    <row r="272" spans="1:16">
      <c r="A272">
        <v>271</v>
      </c>
      <c r="B272" t="s">
        <v>24</v>
      </c>
      <c r="C272" t="s">
        <v>25</v>
      </c>
      <c r="D272" t="s">
        <v>57</v>
      </c>
      <c r="E272" t="s">
        <v>33</v>
      </c>
      <c r="F272" t="s">
        <v>27</v>
      </c>
      <c r="G272">
        <v>1066</v>
      </c>
      <c r="H272">
        <v>13</v>
      </c>
      <c r="I272">
        <v>13858</v>
      </c>
      <c r="J272">
        <v>3.6</v>
      </c>
      <c r="K272" t="s">
        <v>35</v>
      </c>
      <c r="L272">
        <v>5</v>
      </c>
      <c r="M272" t="str">
        <f t="shared" si="12"/>
        <v>May</v>
      </c>
      <c r="N272">
        <v>2025</v>
      </c>
      <c r="O272">
        <f t="shared" si="13"/>
        <v>9700.5999999999985</v>
      </c>
      <c r="P272">
        <f t="shared" si="14"/>
        <v>4157.4000000000015</v>
      </c>
    </row>
    <row r="273" spans="1:16">
      <c r="A273">
        <v>272</v>
      </c>
      <c r="B273" t="s">
        <v>64</v>
      </c>
      <c r="C273" t="s">
        <v>112</v>
      </c>
      <c r="D273" t="s">
        <v>38</v>
      </c>
      <c r="E273" t="s">
        <v>33</v>
      </c>
      <c r="F273" t="s">
        <v>34</v>
      </c>
      <c r="G273">
        <v>1436</v>
      </c>
      <c r="H273">
        <v>7</v>
      </c>
      <c r="I273">
        <v>10052</v>
      </c>
      <c r="J273">
        <v>4.8</v>
      </c>
      <c r="K273" t="s">
        <v>47</v>
      </c>
      <c r="L273">
        <v>12</v>
      </c>
      <c r="M273" t="str">
        <f t="shared" si="12"/>
        <v>December</v>
      </c>
      <c r="N273">
        <v>2025</v>
      </c>
      <c r="O273">
        <f t="shared" si="13"/>
        <v>7036.4</v>
      </c>
      <c r="P273">
        <f t="shared" si="14"/>
        <v>3015.6000000000004</v>
      </c>
    </row>
    <row r="274" spans="1:16">
      <c r="A274">
        <v>273</v>
      </c>
      <c r="B274" t="s">
        <v>13</v>
      </c>
      <c r="C274" t="s">
        <v>48</v>
      </c>
      <c r="D274" t="s">
        <v>38</v>
      </c>
      <c r="E274" t="s">
        <v>33</v>
      </c>
      <c r="F274" t="s">
        <v>27</v>
      </c>
      <c r="G274">
        <v>327</v>
      </c>
      <c r="H274">
        <v>8</v>
      </c>
      <c r="I274">
        <v>2616</v>
      </c>
      <c r="J274">
        <v>4</v>
      </c>
      <c r="K274" t="s">
        <v>18</v>
      </c>
      <c r="L274">
        <v>6</v>
      </c>
      <c r="M274" t="str">
        <f t="shared" si="12"/>
        <v>June</v>
      </c>
      <c r="N274">
        <v>2025</v>
      </c>
      <c r="O274">
        <f t="shared" si="13"/>
        <v>1831.1999999999998</v>
      </c>
      <c r="P274">
        <f t="shared" si="14"/>
        <v>784.80000000000018</v>
      </c>
    </row>
    <row r="275" spans="1:16">
      <c r="A275">
        <v>274</v>
      </c>
      <c r="B275" t="s">
        <v>58</v>
      </c>
      <c r="C275" t="s">
        <v>117</v>
      </c>
      <c r="D275" t="s">
        <v>26</v>
      </c>
      <c r="E275" t="s">
        <v>33</v>
      </c>
      <c r="F275" t="s">
        <v>22</v>
      </c>
      <c r="G275">
        <v>727</v>
      </c>
      <c r="H275">
        <v>17</v>
      </c>
      <c r="I275">
        <v>12359</v>
      </c>
      <c r="J275">
        <v>3.7</v>
      </c>
      <c r="K275" t="s">
        <v>18</v>
      </c>
      <c r="L275">
        <v>1</v>
      </c>
      <c r="M275" t="str">
        <f t="shared" si="12"/>
        <v>January</v>
      </c>
      <c r="N275">
        <v>2025</v>
      </c>
      <c r="O275">
        <f t="shared" si="13"/>
        <v>8651.2999999999993</v>
      </c>
      <c r="P275">
        <f t="shared" si="14"/>
        <v>3707.7000000000007</v>
      </c>
    </row>
    <row r="276" spans="1:16">
      <c r="A276">
        <v>275</v>
      </c>
      <c r="B276" t="s">
        <v>19</v>
      </c>
      <c r="C276" t="s">
        <v>193</v>
      </c>
      <c r="D276" t="s">
        <v>38</v>
      </c>
      <c r="E276" t="s">
        <v>43</v>
      </c>
      <c r="F276" t="s">
        <v>34</v>
      </c>
      <c r="G276">
        <v>1361</v>
      </c>
      <c r="H276">
        <v>16</v>
      </c>
      <c r="I276">
        <v>21776</v>
      </c>
      <c r="J276">
        <v>3.5</v>
      </c>
      <c r="K276" t="s">
        <v>35</v>
      </c>
      <c r="L276">
        <v>3</v>
      </c>
      <c r="M276" t="str">
        <f t="shared" si="12"/>
        <v>March</v>
      </c>
      <c r="N276">
        <v>2025</v>
      </c>
      <c r="O276">
        <f t="shared" si="13"/>
        <v>15243.199999999999</v>
      </c>
      <c r="P276">
        <f t="shared" si="14"/>
        <v>6532.8000000000011</v>
      </c>
    </row>
    <row r="277" spans="1:16">
      <c r="A277">
        <v>276</v>
      </c>
      <c r="B277" t="s">
        <v>69</v>
      </c>
      <c r="C277" t="s">
        <v>105</v>
      </c>
      <c r="D277" t="s">
        <v>42</v>
      </c>
      <c r="E277" t="s">
        <v>43</v>
      </c>
      <c r="F277" t="s">
        <v>39</v>
      </c>
      <c r="G277">
        <v>687</v>
      </c>
      <c r="H277">
        <v>18</v>
      </c>
      <c r="I277">
        <v>12366</v>
      </c>
      <c r="J277">
        <v>3.2</v>
      </c>
      <c r="K277" t="s">
        <v>28</v>
      </c>
      <c r="L277">
        <v>3</v>
      </c>
      <c r="M277" t="str">
        <f t="shared" si="12"/>
        <v>March</v>
      </c>
      <c r="N277">
        <v>2025</v>
      </c>
      <c r="O277">
        <f t="shared" si="13"/>
        <v>8656.1999999999989</v>
      </c>
      <c r="P277">
        <f t="shared" si="14"/>
        <v>3709.8000000000011</v>
      </c>
    </row>
    <row r="278" spans="1:16">
      <c r="A278">
        <v>277</v>
      </c>
      <c r="B278" t="s">
        <v>36</v>
      </c>
      <c r="C278" t="s">
        <v>194</v>
      </c>
      <c r="D278" t="s">
        <v>30</v>
      </c>
      <c r="E278" t="s">
        <v>50</v>
      </c>
      <c r="F278" t="s">
        <v>17</v>
      </c>
      <c r="G278">
        <v>736</v>
      </c>
      <c r="H278">
        <v>15</v>
      </c>
      <c r="I278">
        <v>11040</v>
      </c>
      <c r="J278">
        <v>3.2</v>
      </c>
      <c r="K278" t="s">
        <v>47</v>
      </c>
      <c r="L278">
        <v>12</v>
      </c>
      <c r="M278" t="str">
        <f t="shared" si="12"/>
        <v>December</v>
      </c>
      <c r="N278">
        <v>2025</v>
      </c>
      <c r="O278">
        <f t="shared" si="13"/>
        <v>7727.9999999999991</v>
      </c>
      <c r="P278">
        <f t="shared" si="14"/>
        <v>3312.0000000000009</v>
      </c>
    </row>
    <row r="279" spans="1:16">
      <c r="A279">
        <v>278</v>
      </c>
      <c r="B279" t="s">
        <v>13</v>
      </c>
      <c r="C279" t="s">
        <v>92</v>
      </c>
      <c r="D279" t="s">
        <v>42</v>
      </c>
      <c r="E279" t="s">
        <v>43</v>
      </c>
      <c r="F279" t="s">
        <v>27</v>
      </c>
      <c r="G279">
        <v>645</v>
      </c>
      <c r="H279">
        <v>12</v>
      </c>
      <c r="I279">
        <v>7740</v>
      </c>
      <c r="J279">
        <v>3.2</v>
      </c>
      <c r="K279" t="s">
        <v>23</v>
      </c>
      <c r="L279">
        <v>7</v>
      </c>
      <c r="M279" t="str">
        <f t="shared" si="12"/>
        <v>July</v>
      </c>
      <c r="N279">
        <v>2025</v>
      </c>
      <c r="O279">
        <f t="shared" si="13"/>
        <v>5418</v>
      </c>
      <c r="P279">
        <f t="shared" si="14"/>
        <v>2322</v>
      </c>
    </row>
    <row r="280" spans="1:16">
      <c r="A280">
        <v>279</v>
      </c>
      <c r="B280" t="s">
        <v>19</v>
      </c>
      <c r="C280" t="s">
        <v>130</v>
      </c>
      <c r="D280" t="s">
        <v>32</v>
      </c>
      <c r="E280" t="s">
        <v>50</v>
      </c>
      <c r="F280" t="s">
        <v>27</v>
      </c>
      <c r="G280">
        <v>889</v>
      </c>
      <c r="H280">
        <v>4</v>
      </c>
      <c r="I280">
        <v>3556</v>
      </c>
      <c r="J280">
        <v>3.4</v>
      </c>
      <c r="K280" t="s">
        <v>28</v>
      </c>
      <c r="L280">
        <v>1</v>
      </c>
      <c r="M280" t="str">
        <f t="shared" si="12"/>
        <v>January</v>
      </c>
      <c r="N280">
        <v>2025</v>
      </c>
      <c r="O280">
        <f t="shared" si="13"/>
        <v>2489.1999999999998</v>
      </c>
      <c r="P280">
        <f t="shared" si="14"/>
        <v>1066.8000000000002</v>
      </c>
    </row>
    <row r="281" spans="1:16">
      <c r="A281">
        <v>280</v>
      </c>
      <c r="B281" t="s">
        <v>24</v>
      </c>
      <c r="C281" t="s">
        <v>183</v>
      </c>
      <c r="D281" t="s">
        <v>32</v>
      </c>
      <c r="E281" t="s">
        <v>50</v>
      </c>
      <c r="F281" t="s">
        <v>63</v>
      </c>
      <c r="G281">
        <v>1329</v>
      </c>
      <c r="H281">
        <v>4</v>
      </c>
      <c r="I281">
        <v>5316</v>
      </c>
      <c r="J281">
        <v>3.7</v>
      </c>
      <c r="K281" t="s">
        <v>18</v>
      </c>
      <c r="L281">
        <v>7</v>
      </c>
      <c r="M281" t="str">
        <f t="shared" si="12"/>
        <v>July</v>
      </c>
      <c r="N281">
        <v>2025</v>
      </c>
      <c r="O281">
        <f t="shared" si="13"/>
        <v>3721.2</v>
      </c>
      <c r="P281">
        <f t="shared" si="14"/>
        <v>1594.8000000000002</v>
      </c>
    </row>
    <row r="282" spans="1:16">
      <c r="A282">
        <v>281</v>
      </c>
      <c r="B282" t="s">
        <v>40</v>
      </c>
      <c r="C282" t="s">
        <v>195</v>
      </c>
      <c r="D282" t="s">
        <v>32</v>
      </c>
      <c r="E282" t="s">
        <v>16</v>
      </c>
      <c r="F282" t="s">
        <v>27</v>
      </c>
      <c r="G282">
        <v>1109</v>
      </c>
      <c r="H282">
        <v>3</v>
      </c>
      <c r="I282">
        <v>3327</v>
      </c>
      <c r="J282">
        <v>4.9000000000000004</v>
      </c>
      <c r="K282" t="s">
        <v>28</v>
      </c>
      <c r="L282">
        <v>7</v>
      </c>
      <c r="M282" t="str">
        <f t="shared" si="12"/>
        <v>July</v>
      </c>
      <c r="N282">
        <v>2025</v>
      </c>
      <c r="O282">
        <f t="shared" si="13"/>
        <v>2328.8999999999996</v>
      </c>
      <c r="P282">
        <f t="shared" si="14"/>
        <v>998.10000000000036</v>
      </c>
    </row>
    <row r="283" spans="1:16">
      <c r="A283">
        <v>282</v>
      </c>
      <c r="B283" t="s">
        <v>64</v>
      </c>
      <c r="C283" t="s">
        <v>180</v>
      </c>
      <c r="D283" t="s">
        <v>60</v>
      </c>
      <c r="E283" t="s">
        <v>50</v>
      </c>
      <c r="F283" t="s">
        <v>27</v>
      </c>
      <c r="G283">
        <v>673</v>
      </c>
      <c r="H283">
        <v>4</v>
      </c>
      <c r="I283">
        <v>2692</v>
      </c>
      <c r="J283">
        <v>4.4000000000000004</v>
      </c>
      <c r="K283" t="s">
        <v>47</v>
      </c>
      <c r="L283">
        <v>1</v>
      </c>
      <c r="M283" t="str">
        <f t="shared" si="12"/>
        <v>January</v>
      </c>
      <c r="N283">
        <v>2025</v>
      </c>
      <c r="O283">
        <f t="shared" si="13"/>
        <v>1884.3999999999999</v>
      </c>
      <c r="P283">
        <f t="shared" si="14"/>
        <v>807.60000000000014</v>
      </c>
    </row>
    <row r="284" spans="1:16">
      <c r="A284">
        <v>283</v>
      </c>
      <c r="B284" t="s">
        <v>64</v>
      </c>
      <c r="C284" t="s">
        <v>180</v>
      </c>
      <c r="D284" t="s">
        <v>15</v>
      </c>
      <c r="E284" t="s">
        <v>33</v>
      </c>
      <c r="F284" t="s">
        <v>17</v>
      </c>
      <c r="G284">
        <v>1406</v>
      </c>
      <c r="H284">
        <v>9</v>
      </c>
      <c r="I284">
        <v>12654</v>
      </c>
      <c r="J284">
        <v>3.1</v>
      </c>
      <c r="K284" t="s">
        <v>35</v>
      </c>
      <c r="L284">
        <v>9</v>
      </c>
      <c r="M284" t="str">
        <f t="shared" si="12"/>
        <v>September</v>
      </c>
      <c r="N284">
        <v>2025</v>
      </c>
      <c r="O284">
        <f t="shared" si="13"/>
        <v>8857.7999999999993</v>
      </c>
      <c r="P284">
        <f t="shared" si="14"/>
        <v>3796.2000000000007</v>
      </c>
    </row>
    <row r="285" spans="1:16">
      <c r="A285">
        <v>284</v>
      </c>
      <c r="B285" t="s">
        <v>13</v>
      </c>
      <c r="C285" t="s">
        <v>107</v>
      </c>
      <c r="D285" t="s">
        <v>57</v>
      </c>
      <c r="E285" t="s">
        <v>33</v>
      </c>
      <c r="F285" t="s">
        <v>17</v>
      </c>
      <c r="G285">
        <v>1298</v>
      </c>
      <c r="H285">
        <v>13</v>
      </c>
      <c r="I285">
        <v>16874</v>
      </c>
      <c r="J285">
        <v>4.3</v>
      </c>
      <c r="K285" t="s">
        <v>47</v>
      </c>
      <c r="L285">
        <v>6</v>
      </c>
      <c r="M285" t="str">
        <f t="shared" si="12"/>
        <v>June</v>
      </c>
      <c r="N285">
        <v>2025</v>
      </c>
      <c r="O285">
        <f t="shared" si="13"/>
        <v>11811.8</v>
      </c>
      <c r="P285">
        <f t="shared" si="14"/>
        <v>5062.2000000000007</v>
      </c>
    </row>
    <row r="286" spans="1:16">
      <c r="A286">
        <v>285</v>
      </c>
      <c r="B286" t="s">
        <v>40</v>
      </c>
      <c r="C286" t="s">
        <v>128</v>
      </c>
      <c r="D286" t="s">
        <v>21</v>
      </c>
      <c r="E286" t="s">
        <v>43</v>
      </c>
      <c r="F286" t="s">
        <v>39</v>
      </c>
      <c r="G286">
        <v>667</v>
      </c>
      <c r="H286">
        <v>9</v>
      </c>
      <c r="I286">
        <v>6003</v>
      </c>
      <c r="J286">
        <v>3.6</v>
      </c>
      <c r="K286" t="s">
        <v>47</v>
      </c>
      <c r="L286">
        <v>2</v>
      </c>
      <c r="M286" t="str">
        <f t="shared" si="12"/>
        <v>February</v>
      </c>
      <c r="N286">
        <v>2025</v>
      </c>
      <c r="O286">
        <f t="shared" si="13"/>
        <v>4202.0999999999995</v>
      </c>
      <c r="P286">
        <f t="shared" si="14"/>
        <v>1800.9000000000005</v>
      </c>
    </row>
    <row r="287" spans="1:16">
      <c r="A287">
        <v>286</v>
      </c>
      <c r="B287" t="s">
        <v>44</v>
      </c>
      <c r="C287" t="s">
        <v>149</v>
      </c>
      <c r="D287" t="s">
        <v>26</v>
      </c>
      <c r="E287" t="s">
        <v>16</v>
      </c>
      <c r="F287" t="s">
        <v>22</v>
      </c>
      <c r="G287">
        <v>1446</v>
      </c>
      <c r="H287">
        <v>13</v>
      </c>
      <c r="I287">
        <v>18798</v>
      </c>
      <c r="J287">
        <v>3.6</v>
      </c>
      <c r="K287" t="s">
        <v>23</v>
      </c>
      <c r="L287">
        <v>2</v>
      </c>
      <c r="M287" t="str">
        <f t="shared" si="12"/>
        <v>February</v>
      </c>
      <c r="N287">
        <v>2025</v>
      </c>
      <c r="O287">
        <f t="shared" si="13"/>
        <v>13158.599999999999</v>
      </c>
      <c r="P287">
        <f t="shared" si="14"/>
        <v>5639.4000000000015</v>
      </c>
    </row>
    <row r="288" spans="1:16">
      <c r="A288">
        <v>287</v>
      </c>
      <c r="B288" t="s">
        <v>40</v>
      </c>
      <c r="C288" t="s">
        <v>196</v>
      </c>
      <c r="D288" t="s">
        <v>30</v>
      </c>
      <c r="E288" t="s">
        <v>43</v>
      </c>
      <c r="F288" t="s">
        <v>27</v>
      </c>
      <c r="G288">
        <v>390</v>
      </c>
      <c r="H288">
        <v>9</v>
      </c>
      <c r="I288">
        <v>3510</v>
      </c>
      <c r="J288">
        <v>4.9000000000000004</v>
      </c>
      <c r="K288" t="s">
        <v>35</v>
      </c>
      <c r="L288">
        <v>5</v>
      </c>
      <c r="M288" t="str">
        <f t="shared" si="12"/>
        <v>May</v>
      </c>
      <c r="N288">
        <v>2025</v>
      </c>
      <c r="O288">
        <f t="shared" si="13"/>
        <v>2457</v>
      </c>
      <c r="P288">
        <f t="shared" si="14"/>
        <v>1053</v>
      </c>
    </row>
    <row r="289" spans="1:16">
      <c r="A289">
        <v>288</v>
      </c>
      <c r="B289" t="s">
        <v>36</v>
      </c>
      <c r="C289" t="s">
        <v>54</v>
      </c>
      <c r="D289" t="s">
        <v>21</v>
      </c>
      <c r="E289" t="s">
        <v>43</v>
      </c>
      <c r="F289" t="s">
        <v>17</v>
      </c>
      <c r="G289">
        <v>1162</v>
      </c>
      <c r="H289">
        <v>15</v>
      </c>
      <c r="I289">
        <v>17430</v>
      </c>
      <c r="J289">
        <v>5</v>
      </c>
      <c r="K289" t="s">
        <v>18</v>
      </c>
      <c r="L289">
        <v>2</v>
      </c>
      <c r="M289" t="str">
        <f t="shared" si="12"/>
        <v>February</v>
      </c>
      <c r="N289">
        <v>2025</v>
      </c>
      <c r="O289">
        <f t="shared" si="13"/>
        <v>12201</v>
      </c>
      <c r="P289">
        <f t="shared" si="14"/>
        <v>5229</v>
      </c>
    </row>
    <row r="290" spans="1:16">
      <c r="A290">
        <v>289</v>
      </c>
      <c r="B290" t="s">
        <v>44</v>
      </c>
      <c r="C290" t="s">
        <v>149</v>
      </c>
      <c r="D290" t="s">
        <v>38</v>
      </c>
      <c r="E290" t="s">
        <v>33</v>
      </c>
      <c r="F290" t="s">
        <v>27</v>
      </c>
      <c r="G290">
        <v>345</v>
      </c>
      <c r="H290">
        <v>13</v>
      </c>
      <c r="I290">
        <v>4485</v>
      </c>
      <c r="J290">
        <v>4.2</v>
      </c>
      <c r="K290" t="s">
        <v>18</v>
      </c>
      <c r="L290">
        <v>8</v>
      </c>
      <c r="M290" t="str">
        <f t="shared" si="12"/>
        <v>August</v>
      </c>
      <c r="N290">
        <v>2025</v>
      </c>
      <c r="O290">
        <f t="shared" si="13"/>
        <v>3139.5</v>
      </c>
      <c r="P290">
        <f t="shared" si="14"/>
        <v>1345.5</v>
      </c>
    </row>
    <row r="291" spans="1:16">
      <c r="A291">
        <v>290</v>
      </c>
      <c r="B291" t="s">
        <v>58</v>
      </c>
      <c r="C291" t="s">
        <v>197</v>
      </c>
      <c r="D291" t="s">
        <v>15</v>
      </c>
      <c r="E291" t="s">
        <v>50</v>
      </c>
      <c r="F291" t="s">
        <v>27</v>
      </c>
      <c r="G291">
        <v>1022</v>
      </c>
      <c r="H291">
        <v>19</v>
      </c>
      <c r="I291">
        <v>19418</v>
      </c>
      <c r="J291">
        <v>4.2</v>
      </c>
      <c r="K291" t="s">
        <v>28</v>
      </c>
      <c r="L291">
        <v>5</v>
      </c>
      <c r="M291" t="str">
        <f t="shared" si="12"/>
        <v>May</v>
      </c>
      <c r="N291">
        <v>2025</v>
      </c>
      <c r="O291">
        <f t="shared" si="13"/>
        <v>13592.599999999999</v>
      </c>
      <c r="P291">
        <f t="shared" si="14"/>
        <v>5825.4000000000015</v>
      </c>
    </row>
    <row r="292" spans="1:16">
      <c r="A292">
        <v>291</v>
      </c>
      <c r="B292" t="s">
        <v>55</v>
      </c>
      <c r="C292" t="s">
        <v>141</v>
      </c>
      <c r="D292" t="s">
        <v>42</v>
      </c>
      <c r="E292" t="s">
        <v>50</v>
      </c>
      <c r="F292" t="s">
        <v>27</v>
      </c>
      <c r="G292">
        <v>621</v>
      </c>
      <c r="H292">
        <v>15</v>
      </c>
      <c r="I292">
        <v>9315</v>
      </c>
      <c r="J292">
        <v>3.1</v>
      </c>
      <c r="K292" t="s">
        <v>28</v>
      </c>
      <c r="L292">
        <v>9</v>
      </c>
      <c r="M292" t="str">
        <f t="shared" si="12"/>
        <v>September</v>
      </c>
      <c r="N292">
        <v>2025</v>
      </c>
      <c r="O292">
        <f t="shared" si="13"/>
        <v>6520.5</v>
      </c>
      <c r="P292">
        <f t="shared" si="14"/>
        <v>2794.5</v>
      </c>
    </row>
    <row r="293" spans="1:16">
      <c r="A293">
        <v>292</v>
      </c>
      <c r="B293" t="s">
        <v>58</v>
      </c>
      <c r="C293" t="s">
        <v>117</v>
      </c>
      <c r="D293" t="s">
        <v>42</v>
      </c>
      <c r="E293" t="s">
        <v>33</v>
      </c>
      <c r="F293" t="s">
        <v>39</v>
      </c>
      <c r="G293">
        <v>1073</v>
      </c>
      <c r="H293">
        <v>11</v>
      </c>
      <c r="I293">
        <v>11803</v>
      </c>
      <c r="J293">
        <v>4.5999999999999996</v>
      </c>
      <c r="K293" t="s">
        <v>35</v>
      </c>
      <c r="L293">
        <v>8</v>
      </c>
      <c r="M293" t="str">
        <f t="shared" si="12"/>
        <v>August</v>
      </c>
      <c r="N293">
        <v>2025</v>
      </c>
      <c r="O293">
        <f t="shared" si="13"/>
        <v>8262.1</v>
      </c>
      <c r="P293">
        <f t="shared" si="14"/>
        <v>3540.8999999999996</v>
      </c>
    </row>
    <row r="294" spans="1:16">
      <c r="A294">
        <v>293</v>
      </c>
      <c r="B294" t="s">
        <v>69</v>
      </c>
      <c r="C294" t="s">
        <v>125</v>
      </c>
      <c r="D294" t="s">
        <v>60</v>
      </c>
      <c r="E294" t="s">
        <v>50</v>
      </c>
      <c r="F294" t="s">
        <v>34</v>
      </c>
      <c r="G294">
        <v>488</v>
      </c>
      <c r="H294">
        <v>7</v>
      </c>
      <c r="I294">
        <v>3416</v>
      </c>
      <c r="J294">
        <v>3.1</v>
      </c>
      <c r="K294" t="s">
        <v>28</v>
      </c>
      <c r="L294">
        <v>3</v>
      </c>
      <c r="M294" t="str">
        <f t="shared" si="12"/>
        <v>March</v>
      </c>
      <c r="N294">
        <v>2025</v>
      </c>
      <c r="O294">
        <f t="shared" si="13"/>
        <v>2391.1999999999998</v>
      </c>
      <c r="P294">
        <f t="shared" si="14"/>
        <v>1024.8000000000002</v>
      </c>
    </row>
    <row r="295" spans="1:16">
      <c r="A295">
        <v>294</v>
      </c>
      <c r="B295" t="s">
        <v>40</v>
      </c>
      <c r="C295" t="s">
        <v>182</v>
      </c>
      <c r="D295" t="s">
        <v>30</v>
      </c>
      <c r="E295" t="s">
        <v>50</v>
      </c>
      <c r="F295" t="s">
        <v>39</v>
      </c>
      <c r="G295">
        <v>1257</v>
      </c>
      <c r="H295">
        <v>3</v>
      </c>
      <c r="I295">
        <v>3771</v>
      </c>
      <c r="J295">
        <v>3.3</v>
      </c>
      <c r="K295" t="s">
        <v>47</v>
      </c>
      <c r="L295">
        <v>7</v>
      </c>
      <c r="M295" t="str">
        <f t="shared" si="12"/>
        <v>July</v>
      </c>
      <c r="N295">
        <v>2025</v>
      </c>
      <c r="O295">
        <f t="shared" si="13"/>
        <v>2639.7</v>
      </c>
      <c r="P295">
        <f t="shared" si="14"/>
        <v>1131.3000000000002</v>
      </c>
    </row>
    <row r="296" spans="1:16">
      <c r="A296">
        <v>295</v>
      </c>
      <c r="B296" t="s">
        <v>24</v>
      </c>
      <c r="C296" t="s">
        <v>183</v>
      </c>
      <c r="D296" t="s">
        <v>32</v>
      </c>
      <c r="E296" t="s">
        <v>50</v>
      </c>
      <c r="F296" t="s">
        <v>34</v>
      </c>
      <c r="G296">
        <v>402</v>
      </c>
      <c r="H296">
        <v>12</v>
      </c>
      <c r="I296">
        <v>4824</v>
      </c>
      <c r="J296">
        <v>4.2</v>
      </c>
      <c r="K296" t="s">
        <v>35</v>
      </c>
      <c r="L296">
        <v>6</v>
      </c>
      <c r="M296" t="str">
        <f t="shared" si="12"/>
        <v>June</v>
      </c>
      <c r="N296">
        <v>2025</v>
      </c>
      <c r="O296">
        <f t="shared" si="13"/>
        <v>3376.7999999999997</v>
      </c>
      <c r="P296">
        <f t="shared" si="14"/>
        <v>1447.2000000000003</v>
      </c>
    </row>
    <row r="297" spans="1:16">
      <c r="A297">
        <v>296</v>
      </c>
      <c r="B297" t="s">
        <v>44</v>
      </c>
      <c r="C297" t="s">
        <v>114</v>
      </c>
      <c r="D297" t="s">
        <v>32</v>
      </c>
      <c r="E297" t="s">
        <v>50</v>
      </c>
      <c r="F297" t="s">
        <v>27</v>
      </c>
      <c r="G297">
        <v>709</v>
      </c>
      <c r="H297">
        <v>18</v>
      </c>
      <c r="I297">
        <v>12762</v>
      </c>
      <c r="J297">
        <v>4.9000000000000004</v>
      </c>
      <c r="K297" t="s">
        <v>18</v>
      </c>
      <c r="L297">
        <v>1</v>
      </c>
      <c r="M297" t="str">
        <f t="shared" si="12"/>
        <v>January</v>
      </c>
      <c r="N297">
        <v>2025</v>
      </c>
      <c r="O297">
        <f t="shared" si="13"/>
        <v>8933.4</v>
      </c>
      <c r="P297">
        <f t="shared" si="14"/>
        <v>3828.6000000000004</v>
      </c>
    </row>
    <row r="298" spans="1:16">
      <c r="A298">
        <v>297</v>
      </c>
      <c r="B298" t="s">
        <v>19</v>
      </c>
      <c r="C298" t="s">
        <v>122</v>
      </c>
      <c r="D298" t="s">
        <v>60</v>
      </c>
      <c r="E298" t="s">
        <v>33</v>
      </c>
      <c r="F298" t="s">
        <v>63</v>
      </c>
      <c r="G298">
        <v>738</v>
      </c>
      <c r="H298">
        <v>18</v>
      </c>
      <c r="I298">
        <v>13284</v>
      </c>
      <c r="J298">
        <v>3.7</v>
      </c>
      <c r="K298" t="s">
        <v>47</v>
      </c>
      <c r="L298">
        <v>8</v>
      </c>
      <c r="M298" t="str">
        <f t="shared" si="12"/>
        <v>August</v>
      </c>
      <c r="N298">
        <v>2025</v>
      </c>
      <c r="O298">
        <f t="shared" si="13"/>
        <v>9298.7999999999993</v>
      </c>
      <c r="P298">
        <f t="shared" si="14"/>
        <v>3985.2000000000007</v>
      </c>
    </row>
    <row r="299" spans="1:16">
      <c r="A299">
        <v>298</v>
      </c>
      <c r="B299" t="s">
        <v>58</v>
      </c>
      <c r="C299" t="s">
        <v>198</v>
      </c>
      <c r="D299" t="s">
        <v>42</v>
      </c>
      <c r="E299" t="s">
        <v>50</v>
      </c>
      <c r="F299" t="s">
        <v>63</v>
      </c>
      <c r="G299">
        <v>682</v>
      </c>
      <c r="H299">
        <v>7</v>
      </c>
      <c r="I299">
        <v>4774</v>
      </c>
      <c r="J299">
        <v>3.3</v>
      </c>
      <c r="K299" t="s">
        <v>35</v>
      </c>
      <c r="L299">
        <v>12</v>
      </c>
      <c r="M299" t="str">
        <f t="shared" si="12"/>
        <v>December</v>
      </c>
      <c r="N299">
        <v>2025</v>
      </c>
      <c r="O299">
        <f t="shared" si="13"/>
        <v>3341.7999999999997</v>
      </c>
      <c r="P299">
        <f t="shared" si="14"/>
        <v>1432.2000000000003</v>
      </c>
    </row>
    <row r="300" spans="1:16">
      <c r="A300">
        <v>299</v>
      </c>
      <c r="B300" t="s">
        <v>69</v>
      </c>
      <c r="C300" t="s">
        <v>199</v>
      </c>
      <c r="D300" t="s">
        <v>42</v>
      </c>
      <c r="E300" t="s">
        <v>50</v>
      </c>
      <c r="F300" t="s">
        <v>39</v>
      </c>
      <c r="G300">
        <v>835</v>
      </c>
      <c r="H300">
        <v>15</v>
      </c>
      <c r="I300">
        <v>12525</v>
      </c>
      <c r="J300">
        <v>5</v>
      </c>
      <c r="K300" t="s">
        <v>47</v>
      </c>
      <c r="L300">
        <v>4</v>
      </c>
      <c r="M300" t="str">
        <f t="shared" si="12"/>
        <v>April</v>
      </c>
      <c r="N300">
        <v>2025</v>
      </c>
      <c r="O300">
        <f t="shared" si="13"/>
        <v>8767.5</v>
      </c>
      <c r="P300">
        <f t="shared" si="14"/>
        <v>3757.5</v>
      </c>
    </row>
    <row r="301" spans="1:16">
      <c r="A301">
        <v>300</v>
      </c>
      <c r="B301" t="s">
        <v>55</v>
      </c>
      <c r="C301" t="s">
        <v>67</v>
      </c>
      <c r="D301" t="s">
        <v>32</v>
      </c>
      <c r="E301" t="s">
        <v>33</v>
      </c>
      <c r="F301" t="s">
        <v>34</v>
      </c>
      <c r="G301">
        <v>1089</v>
      </c>
      <c r="H301">
        <v>13</v>
      </c>
      <c r="I301">
        <v>14157</v>
      </c>
      <c r="J301">
        <v>4.8</v>
      </c>
      <c r="K301" t="s">
        <v>23</v>
      </c>
      <c r="L301">
        <v>5</v>
      </c>
      <c r="M301" t="str">
        <f t="shared" si="12"/>
        <v>May</v>
      </c>
      <c r="N301">
        <v>2025</v>
      </c>
      <c r="O301">
        <f t="shared" si="13"/>
        <v>9909.9</v>
      </c>
      <c r="P301">
        <f t="shared" si="14"/>
        <v>4247.1000000000004</v>
      </c>
    </row>
    <row r="302" spans="1:16">
      <c r="A302">
        <v>301</v>
      </c>
      <c r="B302" t="s">
        <v>36</v>
      </c>
      <c r="C302" t="s">
        <v>190</v>
      </c>
      <c r="D302" t="s">
        <v>42</v>
      </c>
      <c r="E302" t="s">
        <v>43</v>
      </c>
      <c r="F302" t="s">
        <v>39</v>
      </c>
      <c r="G302">
        <v>1255</v>
      </c>
      <c r="H302">
        <v>19</v>
      </c>
      <c r="I302">
        <v>23845</v>
      </c>
      <c r="J302">
        <v>4.5999999999999996</v>
      </c>
      <c r="K302" t="s">
        <v>35</v>
      </c>
      <c r="L302">
        <v>4</v>
      </c>
      <c r="M302" t="str">
        <f t="shared" si="12"/>
        <v>April</v>
      </c>
      <c r="N302">
        <v>2025</v>
      </c>
      <c r="O302">
        <f t="shared" si="13"/>
        <v>16691.5</v>
      </c>
      <c r="P302">
        <f t="shared" si="14"/>
        <v>7153.5</v>
      </c>
    </row>
    <row r="303" spans="1:16">
      <c r="A303">
        <v>302</v>
      </c>
      <c r="B303" t="s">
        <v>69</v>
      </c>
      <c r="C303" t="s">
        <v>200</v>
      </c>
      <c r="D303" t="s">
        <v>42</v>
      </c>
      <c r="E303" t="s">
        <v>43</v>
      </c>
      <c r="F303" t="s">
        <v>39</v>
      </c>
      <c r="G303">
        <v>617</v>
      </c>
      <c r="H303">
        <v>12</v>
      </c>
      <c r="I303">
        <v>7404</v>
      </c>
      <c r="J303">
        <v>4.8</v>
      </c>
      <c r="K303" t="s">
        <v>28</v>
      </c>
      <c r="L303">
        <v>5</v>
      </c>
      <c r="M303" t="str">
        <f t="shared" si="12"/>
        <v>May</v>
      </c>
      <c r="N303">
        <v>2025</v>
      </c>
      <c r="O303">
        <f t="shared" si="13"/>
        <v>5182.7999999999993</v>
      </c>
      <c r="P303">
        <f t="shared" si="14"/>
        <v>2221.2000000000007</v>
      </c>
    </row>
    <row r="304" spans="1:16">
      <c r="A304">
        <v>303</v>
      </c>
      <c r="B304" t="s">
        <v>55</v>
      </c>
      <c r="C304" t="s">
        <v>68</v>
      </c>
      <c r="D304" t="s">
        <v>76</v>
      </c>
      <c r="E304" t="s">
        <v>50</v>
      </c>
      <c r="F304" t="s">
        <v>22</v>
      </c>
      <c r="G304">
        <v>928</v>
      </c>
      <c r="H304">
        <v>18</v>
      </c>
      <c r="I304">
        <v>16704</v>
      </c>
      <c r="J304">
        <v>4.5999999999999996</v>
      </c>
      <c r="K304" t="s">
        <v>18</v>
      </c>
      <c r="L304">
        <v>8</v>
      </c>
      <c r="M304" t="str">
        <f t="shared" si="12"/>
        <v>August</v>
      </c>
      <c r="N304">
        <v>2025</v>
      </c>
      <c r="O304">
        <f t="shared" si="13"/>
        <v>11692.8</v>
      </c>
      <c r="P304">
        <f t="shared" si="14"/>
        <v>5011.2000000000007</v>
      </c>
    </row>
    <row r="305" spans="1:16">
      <c r="A305">
        <v>304</v>
      </c>
      <c r="B305" t="s">
        <v>40</v>
      </c>
      <c r="C305" t="s">
        <v>61</v>
      </c>
      <c r="D305" t="s">
        <v>30</v>
      </c>
      <c r="E305" t="s">
        <v>43</v>
      </c>
      <c r="F305" t="s">
        <v>39</v>
      </c>
      <c r="G305">
        <v>713</v>
      </c>
      <c r="H305">
        <v>2</v>
      </c>
      <c r="I305">
        <v>1426</v>
      </c>
      <c r="J305">
        <v>4.3</v>
      </c>
      <c r="K305" t="s">
        <v>18</v>
      </c>
      <c r="L305">
        <v>9</v>
      </c>
      <c r="M305" t="str">
        <f t="shared" si="12"/>
        <v>September</v>
      </c>
      <c r="N305">
        <v>2025</v>
      </c>
      <c r="O305">
        <f t="shared" si="13"/>
        <v>998.19999999999993</v>
      </c>
      <c r="P305">
        <f t="shared" si="14"/>
        <v>427.80000000000007</v>
      </c>
    </row>
    <row r="306" spans="1:16">
      <c r="A306">
        <v>305</v>
      </c>
      <c r="B306" t="s">
        <v>44</v>
      </c>
      <c r="C306" t="s">
        <v>181</v>
      </c>
      <c r="D306" t="s">
        <v>21</v>
      </c>
      <c r="E306" t="s">
        <v>43</v>
      </c>
      <c r="F306" t="s">
        <v>17</v>
      </c>
      <c r="G306">
        <v>797</v>
      </c>
      <c r="H306">
        <v>4</v>
      </c>
      <c r="I306">
        <v>3188</v>
      </c>
      <c r="J306">
        <v>4.3</v>
      </c>
      <c r="K306" t="s">
        <v>28</v>
      </c>
      <c r="L306">
        <v>10</v>
      </c>
      <c r="M306" t="str">
        <f t="shared" si="12"/>
        <v>October</v>
      </c>
      <c r="N306">
        <v>2025</v>
      </c>
      <c r="O306">
        <f t="shared" si="13"/>
        <v>2231.6</v>
      </c>
      <c r="P306">
        <f t="shared" si="14"/>
        <v>956.40000000000009</v>
      </c>
    </row>
    <row r="307" spans="1:16">
      <c r="A307">
        <v>306</v>
      </c>
      <c r="B307" t="s">
        <v>69</v>
      </c>
      <c r="C307" t="s">
        <v>70</v>
      </c>
      <c r="D307" t="s">
        <v>15</v>
      </c>
      <c r="E307" t="s">
        <v>43</v>
      </c>
      <c r="F307" t="s">
        <v>34</v>
      </c>
      <c r="G307">
        <v>480</v>
      </c>
      <c r="H307">
        <v>18</v>
      </c>
      <c r="I307">
        <v>8640</v>
      </c>
      <c r="J307">
        <v>5</v>
      </c>
      <c r="K307" t="s">
        <v>23</v>
      </c>
      <c r="L307">
        <v>9</v>
      </c>
      <c r="M307" t="str">
        <f t="shared" si="12"/>
        <v>September</v>
      </c>
      <c r="N307">
        <v>2025</v>
      </c>
      <c r="O307">
        <f t="shared" si="13"/>
        <v>6048</v>
      </c>
      <c r="P307">
        <f t="shared" si="14"/>
        <v>2592</v>
      </c>
    </row>
    <row r="308" spans="1:16">
      <c r="A308">
        <v>307</v>
      </c>
      <c r="B308" t="s">
        <v>44</v>
      </c>
      <c r="C308" t="s">
        <v>167</v>
      </c>
      <c r="D308" t="s">
        <v>21</v>
      </c>
      <c r="E308" t="s">
        <v>50</v>
      </c>
      <c r="F308" t="s">
        <v>34</v>
      </c>
      <c r="G308">
        <v>1384</v>
      </c>
      <c r="H308">
        <v>12</v>
      </c>
      <c r="I308">
        <v>16608</v>
      </c>
      <c r="J308">
        <v>4.4000000000000004</v>
      </c>
      <c r="K308" t="s">
        <v>18</v>
      </c>
      <c r="L308">
        <v>4</v>
      </c>
      <c r="M308" t="str">
        <f t="shared" si="12"/>
        <v>April</v>
      </c>
      <c r="N308">
        <v>2025</v>
      </c>
      <c r="O308">
        <f t="shared" si="13"/>
        <v>11625.599999999999</v>
      </c>
      <c r="P308">
        <f t="shared" si="14"/>
        <v>4982.4000000000015</v>
      </c>
    </row>
    <row r="309" spans="1:16">
      <c r="A309">
        <v>308</v>
      </c>
      <c r="B309" t="s">
        <v>13</v>
      </c>
      <c r="C309" t="s">
        <v>107</v>
      </c>
      <c r="D309" t="s">
        <v>38</v>
      </c>
      <c r="E309" t="s">
        <v>50</v>
      </c>
      <c r="F309" t="s">
        <v>63</v>
      </c>
      <c r="G309">
        <v>1113</v>
      </c>
      <c r="H309">
        <v>9</v>
      </c>
      <c r="I309">
        <v>10017</v>
      </c>
      <c r="J309">
        <v>5</v>
      </c>
      <c r="K309" t="s">
        <v>23</v>
      </c>
      <c r="L309">
        <v>5</v>
      </c>
      <c r="M309" t="str">
        <f t="shared" si="12"/>
        <v>May</v>
      </c>
      <c r="N309">
        <v>2025</v>
      </c>
      <c r="O309">
        <f t="shared" si="13"/>
        <v>7011.9</v>
      </c>
      <c r="P309">
        <f t="shared" si="14"/>
        <v>3005.1000000000004</v>
      </c>
    </row>
    <row r="310" spans="1:16">
      <c r="A310">
        <v>309</v>
      </c>
      <c r="B310" t="s">
        <v>40</v>
      </c>
      <c r="C310" t="s">
        <v>138</v>
      </c>
      <c r="D310" t="s">
        <v>30</v>
      </c>
      <c r="E310" t="s">
        <v>43</v>
      </c>
      <c r="F310" t="s">
        <v>22</v>
      </c>
      <c r="G310">
        <v>1071</v>
      </c>
      <c r="H310">
        <v>13</v>
      </c>
      <c r="I310">
        <v>13923</v>
      </c>
      <c r="J310">
        <v>4.5999999999999996</v>
      </c>
      <c r="K310" t="s">
        <v>35</v>
      </c>
      <c r="L310">
        <v>10</v>
      </c>
      <c r="M310" t="str">
        <f t="shared" si="12"/>
        <v>October</v>
      </c>
      <c r="N310">
        <v>2025</v>
      </c>
      <c r="O310">
        <f t="shared" si="13"/>
        <v>9746.0999999999985</v>
      </c>
      <c r="P310">
        <f t="shared" si="14"/>
        <v>4176.9000000000015</v>
      </c>
    </row>
    <row r="311" spans="1:16">
      <c r="A311">
        <v>310</v>
      </c>
      <c r="B311" t="s">
        <v>24</v>
      </c>
      <c r="C311" t="s">
        <v>93</v>
      </c>
      <c r="D311" t="s">
        <v>21</v>
      </c>
      <c r="E311" t="s">
        <v>33</v>
      </c>
      <c r="F311" t="s">
        <v>39</v>
      </c>
      <c r="G311">
        <v>1065</v>
      </c>
      <c r="H311">
        <v>8</v>
      </c>
      <c r="I311">
        <v>8520</v>
      </c>
      <c r="J311">
        <v>4.5999999999999996</v>
      </c>
      <c r="K311" t="s">
        <v>35</v>
      </c>
      <c r="L311">
        <v>6</v>
      </c>
      <c r="M311" t="str">
        <f t="shared" si="12"/>
        <v>June</v>
      </c>
      <c r="N311">
        <v>2025</v>
      </c>
      <c r="O311">
        <f t="shared" si="13"/>
        <v>5964</v>
      </c>
      <c r="P311">
        <f t="shared" si="14"/>
        <v>2556</v>
      </c>
    </row>
    <row r="312" spans="1:16">
      <c r="A312">
        <v>311</v>
      </c>
      <c r="B312" t="s">
        <v>69</v>
      </c>
      <c r="C312" t="s">
        <v>104</v>
      </c>
      <c r="D312" t="s">
        <v>15</v>
      </c>
      <c r="E312" t="s">
        <v>50</v>
      </c>
      <c r="F312" t="s">
        <v>17</v>
      </c>
      <c r="G312">
        <v>1058</v>
      </c>
      <c r="H312">
        <v>4</v>
      </c>
      <c r="I312">
        <v>4232</v>
      </c>
      <c r="J312">
        <v>4.5</v>
      </c>
      <c r="K312" t="s">
        <v>23</v>
      </c>
      <c r="L312">
        <v>2</v>
      </c>
      <c r="M312" t="str">
        <f t="shared" si="12"/>
        <v>February</v>
      </c>
      <c r="N312">
        <v>2025</v>
      </c>
      <c r="O312">
        <f t="shared" si="13"/>
        <v>2962.3999999999996</v>
      </c>
      <c r="P312">
        <f t="shared" si="14"/>
        <v>1269.6000000000004</v>
      </c>
    </row>
    <row r="313" spans="1:16">
      <c r="A313">
        <v>312</v>
      </c>
      <c r="B313" t="s">
        <v>36</v>
      </c>
      <c r="C313" t="s">
        <v>201</v>
      </c>
      <c r="D313" t="s">
        <v>60</v>
      </c>
      <c r="E313" t="s">
        <v>50</v>
      </c>
      <c r="F313" t="s">
        <v>27</v>
      </c>
      <c r="G313">
        <v>1407</v>
      </c>
      <c r="H313">
        <v>2</v>
      </c>
      <c r="I313">
        <v>2814</v>
      </c>
      <c r="J313">
        <v>3.1</v>
      </c>
      <c r="K313" t="s">
        <v>47</v>
      </c>
      <c r="L313">
        <v>11</v>
      </c>
      <c r="M313" t="str">
        <f t="shared" si="12"/>
        <v>November</v>
      </c>
      <c r="N313">
        <v>2025</v>
      </c>
      <c r="O313">
        <f t="shared" si="13"/>
        <v>1969.8</v>
      </c>
      <c r="P313">
        <f t="shared" si="14"/>
        <v>844.2</v>
      </c>
    </row>
    <row r="314" spans="1:16">
      <c r="A314">
        <v>313</v>
      </c>
      <c r="B314" t="s">
        <v>44</v>
      </c>
      <c r="C314" t="s">
        <v>149</v>
      </c>
      <c r="D314" t="s">
        <v>57</v>
      </c>
      <c r="E314" t="s">
        <v>33</v>
      </c>
      <c r="F314" t="s">
        <v>63</v>
      </c>
      <c r="G314">
        <v>374</v>
      </c>
      <c r="H314">
        <v>18</v>
      </c>
      <c r="I314">
        <v>6732</v>
      </c>
      <c r="J314">
        <v>3.9</v>
      </c>
      <c r="K314" t="s">
        <v>28</v>
      </c>
      <c r="L314">
        <v>11</v>
      </c>
      <c r="M314" t="str">
        <f t="shared" si="12"/>
        <v>November</v>
      </c>
      <c r="N314">
        <v>2025</v>
      </c>
      <c r="O314">
        <f t="shared" si="13"/>
        <v>4712.3999999999996</v>
      </c>
      <c r="P314">
        <f t="shared" si="14"/>
        <v>2019.6000000000004</v>
      </c>
    </row>
    <row r="315" spans="1:16">
      <c r="A315">
        <v>314</v>
      </c>
      <c r="B315" t="s">
        <v>24</v>
      </c>
      <c r="C315" t="s">
        <v>152</v>
      </c>
      <c r="D315" t="s">
        <v>32</v>
      </c>
      <c r="E315" t="s">
        <v>43</v>
      </c>
      <c r="F315" t="s">
        <v>17</v>
      </c>
      <c r="G315">
        <v>1101</v>
      </c>
      <c r="H315">
        <v>2</v>
      </c>
      <c r="I315">
        <v>2202</v>
      </c>
      <c r="J315">
        <v>4</v>
      </c>
      <c r="K315" t="s">
        <v>35</v>
      </c>
      <c r="L315">
        <v>1</v>
      </c>
      <c r="M315" t="str">
        <f t="shared" si="12"/>
        <v>January</v>
      </c>
      <c r="N315">
        <v>2025</v>
      </c>
      <c r="O315">
        <f t="shared" si="13"/>
        <v>1541.3999999999999</v>
      </c>
      <c r="P315">
        <f t="shared" si="14"/>
        <v>660.60000000000014</v>
      </c>
    </row>
    <row r="316" spans="1:16">
      <c r="A316">
        <v>315</v>
      </c>
      <c r="B316" t="s">
        <v>64</v>
      </c>
      <c r="C316" t="s">
        <v>65</v>
      </c>
      <c r="D316" t="s">
        <v>38</v>
      </c>
      <c r="E316" t="s">
        <v>16</v>
      </c>
      <c r="F316" t="s">
        <v>27</v>
      </c>
      <c r="G316">
        <v>1040</v>
      </c>
      <c r="H316">
        <v>12</v>
      </c>
      <c r="I316">
        <v>12480</v>
      </c>
      <c r="J316">
        <v>3.8</v>
      </c>
      <c r="K316" t="s">
        <v>28</v>
      </c>
      <c r="L316">
        <v>8</v>
      </c>
      <c r="M316" t="str">
        <f t="shared" si="12"/>
        <v>August</v>
      </c>
      <c r="N316">
        <v>2025</v>
      </c>
      <c r="O316">
        <f t="shared" si="13"/>
        <v>8736</v>
      </c>
      <c r="P316">
        <f t="shared" si="14"/>
        <v>3744</v>
      </c>
    </row>
    <row r="317" spans="1:16">
      <c r="A317">
        <v>316</v>
      </c>
      <c r="B317" t="s">
        <v>24</v>
      </c>
      <c r="C317" t="s">
        <v>134</v>
      </c>
      <c r="D317" t="s">
        <v>15</v>
      </c>
      <c r="E317" t="s">
        <v>43</v>
      </c>
      <c r="F317" t="s">
        <v>63</v>
      </c>
      <c r="G317">
        <v>539</v>
      </c>
      <c r="H317">
        <v>1</v>
      </c>
      <c r="I317">
        <v>539</v>
      </c>
      <c r="J317">
        <v>3.7</v>
      </c>
      <c r="K317" t="s">
        <v>35</v>
      </c>
      <c r="L317">
        <v>10</v>
      </c>
      <c r="M317" t="str">
        <f t="shared" si="12"/>
        <v>October</v>
      </c>
      <c r="N317">
        <v>2025</v>
      </c>
      <c r="O317">
        <f t="shared" si="13"/>
        <v>377.29999999999995</v>
      </c>
      <c r="P317">
        <f t="shared" si="14"/>
        <v>161.70000000000005</v>
      </c>
    </row>
    <row r="318" spans="1:16">
      <c r="A318">
        <v>317</v>
      </c>
      <c r="B318" t="s">
        <v>24</v>
      </c>
      <c r="C318" t="s">
        <v>133</v>
      </c>
      <c r="D318" t="s">
        <v>26</v>
      </c>
      <c r="E318" t="s">
        <v>50</v>
      </c>
      <c r="F318" t="s">
        <v>17</v>
      </c>
      <c r="G318">
        <v>909</v>
      </c>
      <c r="H318">
        <v>17</v>
      </c>
      <c r="I318">
        <v>15453</v>
      </c>
      <c r="J318">
        <v>4.9000000000000004</v>
      </c>
      <c r="K318" t="s">
        <v>47</v>
      </c>
      <c r="L318">
        <v>12</v>
      </c>
      <c r="M318" t="str">
        <f t="shared" si="12"/>
        <v>December</v>
      </c>
      <c r="N318">
        <v>2025</v>
      </c>
      <c r="O318">
        <f t="shared" si="13"/>
        <v>10817.099999999999</v>
      </c>
      <c r="P318">
        <f t="shared" si="14"/>
        <v>4635.9000000000015</v>
      </c>
    </row>
    <row r="319" spans="1:16">
      <c r="A319">
        <v>318</v>
      </c>
      <c r="B319" t="s">
        <v>19</v>
      </c>
      <c r="C319" t="s">
        <v>31</v>
      </c>
      <c r="D319" t="s">
        <v>30</v>
      </c>
      <c r="E319" t="s">
        <v>33</v>
      </c>
      <c r="F319" t="s">
        <v>17</v>
      </c>
      <c r="G319">
        <v>500</v>
      </c>
      <c r="H319">
        <v>10</v>
      </c>
      <c r="I319">
        <v>5000</v>
      </c>
      <c r="J319">
        <v>3.2</v>
      </c>
      <c r="K319" t="s">
        <v>23</v>
      </c>
      <c r="L319">
        <v>2</v>
      </c>
      <c r="M319" t="str">
        <f t="shared" si="12"/>
        <v>February</v>
      </c>
      <c r="N319">
        <v>2025</v>
      </c>
      <c r="O319">
        <f t="shared" si="13"/>
        <v>3500</v>
      </c>
      <c r="P319">
        <f t="shared" si="14"/>
        <v>1500</v>
      </c>
    </row>
    <row r="320" spans="1:16">
      <c r="A320">
        <v>319</v>
      </c>
      <c r="B320" t="s">
        <v>58</v>
      </c>
      <c r="C320" t="s">
        <v>202</v>
      </c>
      <c r="D320" t="s">
        <v>38</v>
      </c>
      <c r="E320" t="s">
        <v>50</v>
      </c>
      <c r="F320" t="s">
        <v>34</v>
      </c>
      <c r="G320">
        <v>613</v>
      </c>
      <c r="H320">
        <v>13</v>
      </c>
      <c r="I320">
        <v>7969</v>
      </c>
      <c r="J320">
        <v>3.1</v>
      </c>
      <c r="K320" t="s">
        <v>47</v>
      </c>
      <c r="L320">
        <v>8</v>
      </c>
      <c r="M320" t="str">
        <f t="shared" si="12"/>
        <v>August</v>
      </c>
      <c r="N320">
        <v>2025</v>
      </c>
      <c r="O320">
        <f t="shared" si="13"/>
        <v>5578.2999999999993</v>
      </c>
      <c r="P320">
        <f t="shared" si="14"/>
        <v>2390.7000000000007</v>
      </c>
    </row>
    <row r="321" spans="1:16">
      <c r="A321">
        <v>320</v>
      </c>
      <c r="B321" t="s">
        <v>24</v>
      </c>
      <c r="C321" t="s">
        <v>77</v>
      </c>
      <c r="D321" t="s">
        <v>38</v>
      </c>
      <c r="E321" t="s">
        <v>16</v>
      </c>
      <c r="F321" t="s">
        <v>63</v>
      </c>
      <c r="G321">
        <v>1031</v>
      </c>
      <c r="H321">
        <v>16</v>
      </c>
      <c r="I321">
        <v>16496</v>
      </c>
      <c r="J321">
        <v>4.7</v>
      </c>
      <c r="K321" t="s">
        <v>18</v>
      </c>
      <c r="L321">
        <v>5</v>
      </c>
      <c r="M321" t="str">
        <f t="shared" si="12"/>
        <v>May</v>
      </c>
      <c r="N321">
        <v>2025</v>
      </c>
      <c r="O321">
        <f t="shared" si="13"/>
        <v>11547.199999999999</v>
      </c>
      <c r="P321">
        <f t="shared" si="14"/>
        <v>4948.8000000000011</v>
      </c>
    </row>
    <row r="322" spans="1:16">
      <c r="A322">
        <v>321</v>
      </c>
      <c r="B322" t="s">
        <v>24</v>
      </c>
      <c r="C322" t="s">
        <v>203</v>
      </c>
      <c r="D322" t="s">
        <v>76</v>
      </c>
      <c r="E322" t="s">
        <v>16</v>
      </c>
      <c r="F322" t="s">
        <v>39</v>
      </c>
      <c r="G322">
        <v>645</v>
      </c>
      <c r="H322">
        <v>8</v>
      </c>
      <c r="I322">
        <v>5160</v>
      </c>
      <c r="J322">
        <v>3.5</v>
      </c>
      <c r="K322" t="s">
        <v>28</v>
      </c>
      <c r="L322">
        <v>5</v>
      </c>
      <c r="M322" t="str">
        <f t="shared" si="12"/>
        <v>May</v>
      </c>
      <c r="N322">
        <v>2025</v>
      </c>
      <c r="O322">
        <f t="shared" si="13"/>
        <v>3611.9999999999995</v>
      </c>
      <c r="P322">
        <f t="shared" si="14"/>
        <v>1548.0000000000005</v>
      </c>
    </row>
    <row r="323" spans="1:16">
      <c r="A323">
        <v>322</v>
      </c>
      <c r="B323" t="s">
        <v>40</v>
      </c>
      <c r="C323" t="s">
        <v>204</v>
      </c>
      <c r="D323" t="s">
        <v>30</v>
      </c>
      <c r="E323" t="s">
        <v>16</v>
      </c>
      <c r="F323" t="s">
        <v>34</v>
      </c>
      <c r="G323">
        <v>302</v>
      </c>
      <c r="H323">
        <v>1</v>
      </c>
      <c r="I323">
        <v>302</v>
      </c>
      <c r="J323">
        <v>4.3</v>
      </c>
      <c r="K323" t="s">
        <v>35</v>
      </c>
      <c r="L323">
        <v>4</v>
      </c>
      <c r="M323" t="str">
        <f t="shared" ref="M323:M386" si="15">TEXT(DATE(2025, L323, 1), "mmmm")</f>
        <v>April</v>
      </c>
      <c r="N323">
        <v>2025</v>
      </c>
      <c r="O323">
        <f t="shared" ref="O323:O386" si="16">I323*0.7</f>
        <v>211.39999999999998</v>
      </c>
      <c r="P323">
        <f t="shared" ref="P323:P386" si="17">I323-O323</f>
        <v>90.600000000000023</v>
      </c>
    </row>
    <row r="324" spans="1:16">
      <c r="A324">
        <v>323</v>
      </c>
      <c r="B324" t="s">
        <v>55</v>
      </c>
      <c r="C324" t="s">
        <v>100</v>
      </c>
      <c r="D324" t="s">
        <v>60</v>
      </c>
      <c r="E324" t="s">
        <v>33</v>
      </c>
      <c r="F324" t="s">
        <v>39</v>
      </c>
      <c r="G324">
        <v>560</v>
      </c>
      <c r="H324">
        <v>8</v>
      </c>
      <c r="I324">
        <v>4480</v>
      </c>
      <c r="J324">
        <v>4.9000000000000004</v>
      </c>
      <c r="K324" t="s">
        <v>35</v>
      </c>
      <c r="L324">
        <v>4</v>
      </c>
      <c r="M324" t="str">
        <f t="shared" si="15"/>
        <v>April</v>
      </c>
      <c r="N324">
        <v>2025</v>
      </c>
      <c r="O324">
        <f t="shared" si="16"/>
        <v>3136</v>
      </c>
      <c r="P324">
        <f t="shared" si="17"/>
        <v>1344</v>
      </c>
    </row>
    <row r="325" spans="1:16">
      <c r="A325">
        <v>324</v>
      </c>
      <c r="B325" t="s">
        <v>19</v>
      </c>
      <c r="C325" t="s">
        <v>156</v>
      </c>
      <c r="D325" t="s">
        <v>21</v>
      </c>
      <c r="E325" t="s">
        <v>33</v>
      </c>
      <c r="F325" t="s">
        <v>22</v>
      </c>
      <c r="G325">
        <v>452</v>
      </c>
      <c r="H325">
        <v>20</v>
      </c>
      <c r="I325">
        <v>9040</v>
      </c>
      <c r="J325">
        <v>3.6</v>
      </c>
      <c r="K325" t="s">
        <v>28</v>
      </c>
      <c r="L325">
        <v>7</v>
      </c>
      <c r="M325" t="str">
        <f t="shared" si="15"/>
        <v>July</v>
      </c>
      <c r="N325">
        <v>2025</v>
      </c>
      <c r="O325">
        <f t="shared" si="16"/>
        <v>6328</v>
      </c>
      <c r="P325">
        <f t="shared" si="17"/>
        <v>2712</v>
      </c>
    </row>
    <row r="326" spans="1:16">
      <c r="A326">
        <v>325</v>
      </c>
      <c r="B326" t="s">
        <v>69</v>
      </c>
      <c r="C326" t="s">
        <v>99</v>
      </c>
      <c r="D326" t="s">
        <v>30</v>
      </c>
      <c r="E326" t="s">
        <v>43</v>
      </c>
      <c r="F326" t="s">
        <v>22</v>
      </c>
      <c r="G326">
        <v>486</v>
      </c>
      <c r="H326">
        <v>8</v>
      </c>
      <c r="I326">
        <v>3888</v>
      </c>
      <c r="J326">
        <v>3.9</v>
      </c>
      <c r="K326" t="s">
        <v>47</v>
      </c>
      <c r="L326">
        <v>6</v>
      </c>
      <c r="M326" t="str">
        <f t="shared" si="15"/>
        <v>June</v>
      </c>
      <c r="N326">
        <v>2025</v>
      </c>
      <c r="O326">
        <f t="shared" si="16"/>
        <v>2721.6</v>
      </c>
      <c r="P326">
        <f t="shared" si="17"/>
        <v>1166.4000000000001</v>
      </c>
    </row>
    <row r="327" spans="1:16">
      <c r="A327">
        <v>326</v>
      </c>
      <c r="B327" t="s">
        <v>58</v>
      </c>
      <c r="C327" t="s">
        <v>197</v>
      </c>
      <c r="D327" t="s">
        <v>30</v>
      </c>
      <c r="E327" t="s">
        <v>16</v>
      </c>
      <c r="F327" t="s">
        <v>27</v>
      </c>
      <c r="G327">
        <v>857</v>
      </c>
      <c r="H327">
        <v>10</v>
      </c>
      <c r="I327">
        <v>8570</v>
      </c>
      <c r="J327">
        <v>5</v>
      </c>
      <c r="K327" t="s">
        <v>47</v>
      </c>
      <c r="L327">
        <v>1</v>
      </c>
      <c r="M327" t="str">
        <f t="shared" si="15"/>
        <v>January</v>
      </c>
      <c r="N327">
        <v>2025</v>
      </c>
      <c r="O327">
        <f t="shared" si="16"/>
        <v>5999</v>
      </c>
      <c r="P327">
        <f t="shared" si="17"/>
        <v>2571</v>
      </c>
    </row>
    <row r="328" spans="1:16">
      <c r="A328">
        <v>327</v>
      </c>
      <c r="B328" t="s">
        <v>69</v>
      </c>
      <c r="C328" t="s">
        <v>205</v>
      </c>
      <c r="D328" t="s">
        <v>42</v>
      </c>
      <c r="E328" t="s">
        <v>16</v>
      </c>
      <c r="F328" t="s">
        <v>22</v>
      </c>
      <c r="G328">
        <v>1483</v>
      </c>
      <c r="H328">
        <v>20</v>
      </c>
      <c r="I328">
        <v>29660</v>
      </c>
      <c r="J328">
        <v>3.8</v>
      </c>
      <c r="K328" t="s">
        <v>23</v>
      </c>
      <c r="L328">
        <v>1</v>
      </c>
      <c r="M328" t="str">
        <f t="shared" si="15"/>
        <v>January</v>
      </c>
      <c r="N328">
        <v>2025</v>
      </c>
      <c r="O328">
        <f t="shared" si="16"/>
        <v>20762</v>
      </c>
      <c r="P328">
        <f t="shared" si="17"/>
        <v>8898</v>
      </c>
    </row>
    <row r="329" spans="1:16">
      <c r="A329">
        <v>328</v>
      </c>
      <c r="B329" t="s">
        <v>36</v>
      </c>
      <c r="C329" t="s">
        <v>54</v>
      </c>
      <c r="D329" t="s">
        <v>76</v>
      </c>
      <c r="E329" t="s">
        <v>16</v>
      </c>
      <c r="F329" t="s">
        <v>34</v>
      </c>
      <c r="G329">
        <v>895</v>
      </c>
      <c r="H329">
        <v>11</v>
      </c>
      <c r="I329">
        <v>9845</v>
      </c>
      <c r="J329">
        <v>4.5999999999999996</v>
      </c>
      <c r="K329" t="s">
        <v>23</v>
      </c>
      <c r="L329">
        <v>1</v>
      </c>
      <c r="M329" t="str">
        <f t="shared" si="15"/>
        <v>January</v>
      </c>
      <c r="N329">
        <v>2025</v>
      </c>
      <c r="O329">
        <f t="shared" si="16"/>
        <v>6891.5</v>
      </c>
      <c r="P329">
        <f t="shared" si="17"/>
        <v>2953.5</v>
      </c>
    </row>
    <row r="330" spans="1:16">
      <c r="A330">
        <v>329</v>
      </c>
      <c r="B330" t="s">
        <v>58</v>
      </c>
      <c r="C330" t="s">
        <v>137</v>
      </c>
      <c r="D330" t="s">
        <v>15</v>
      </c>
      <c r="E330" t="s">
        <v>50</v>
      </c>
      <c r="F330" t="s">
        <v>17</v>
      </c>
      <c r="G330">
        <v>1215</v>
      </c>
      <c r="H330">
        <v>6</v>
      </c>
      <c r="I330">
        <v>7290</v>
      </c>
      <c r="J330">
        <v>4.5999999999999996</v>
      </c>
      <c r="K330" t="s">
        <v>23</v>
      </c>
      <c r="L330">
        <v>6</v>
      </c>
      <c r="M330" t="str">
        <f t="shared" si="15"/>
        <v>June</v>
      </c>
      <c r="N330">
        <v>2025</v>
      </c>
      <c r="O330">
        <f t="shared" si="16"/>
        <v>5103</v>
      </c>
      <c r="P330">
        <f t="shared" si="17"/>
        <v>2187</v>
      </c>
    </row>
    <row r="331" spans="1:16">
      <c r="A331">
        <v>330</v>
      </c>
      <c r="B331" t="s">
        <v>40</v>
      </c>
      <c r="C331" t="s">
        <v>138</v>
      </c>
      <c r="D331" t="s">
        <v>21</v>
      </c>
      <c r="E331" t="s">
        <v>16</v>
      </c>
      <c r="F331" t="s">
        <v>17</v>
      </c>
      <c r="G331">
        <v>775</v>
      </c>
      <c r="H331">
        <v>10</v>
      </c>
      <c r="I331">
        <v>7750</v>
      </c>
      <c r="J331">
        <v>3.8</v>
      </c>
      <c r="K331" t="s">
        <v>47</v>
      </c>
      <c r="L331">
        <v>4</v>
      </c>
      <c r="M331" t="str">
        <f t="shared" si="15"/>
        <v>April</v>
      </c>
      <c r="N331">
        <v>2025</v>
      </c>
      <c r="O331">
        <f t="shared" si="16"/>
        <v>5425</v>
      </c>
      <c r="P331">
        <f t="shared" si="17"/>
        <v>2325</v>
      </c>
    </row>
    <row r="332" spans="1:16">
      <c r="A332">
        <v>331</v>
      </c>
      <c r="B332" t="s">
        <v>13</v>
      </c>
      <c r="C332" t="s">
        <v>14</v>
      </c>
      <c r="D332" t="s">
        <v>30</v>
      </c>
      <c r="E332" t="s">
        <v>43</v>
      </c>
      <c r="F332" t="s">
        <v>34</v>
      </c>
      <c r="G332">
        <v>572</v>
      </c>
      <c r="H332">
        <v>3</v>
      </c>
      <c r="I332">
        <v>1716</v>
      </c>
      <c r="J332">
        <v>4.3</v>
      </c>
      <c r="K332" t="s">
        <v>47</v>
      </c>
      <c r="L332">
        <v>3</v>
      </c>
      <c r="M332" t="str">
        <f t="shared" si="15"/>
        <v>March</v>
      </c>
      <c r="N332">
        <v>2025</v>
      </c>
      <c r="O332">
        <f t="shared" si="16"/>
        <v>1201.1999999999998</v>
      </c>
      <c r="P332">
        <f t="shared" si="17"/>
        <v>514.80000000000018</v>
      </c>
    </row>
    <row r="333" spans="1:16">
      <c r="A333">
        <v>332</v>
      </c>
      <c r="B333" t="s">
        <v>44</v>
      </c>
      <c r="C333" t="s">
        <v>79</v>
      </c>
      <c r="D333" t="s">
        <v>76</v>
      </c>
      <c r="E333" t="s">
        <v>50</v>
      </c>
      <c r="F333" t="s">
        <v>27</v>
      </c>
      <c r="G333">
        <v>757</v>
      </c>
      <c r="H333">
        <v>12</v>
      </c>
      <c r="I333">
        <v>9084</v>
      </c>
      <c r="J333">
        <v>3</v>
      </c>
      <c r="K333" t="s">
        <v>18</v>
      </c>
      <c r="L333">
        <v>12</v>
      </c>
      <c r="M333" t="str">
        <f t="shared" si="15"/>
        <v>December</v>
      </c>
      <c r="N333">
        <v>2025</v>
      </c>
      <c r="O333">
        <f t="shared" si="16"/>
        <v>6358.7999999999993</v>
      </c>
      <c r="P333">
        <f t="shared" si="17"/>
        <v>2725.2000000000007</v>
      </c>
    </row>
    <row r="334" spans="1:16">
      <c r="A334">
        <v>333</v>
      </c>
      <c r="B334" t="s">
        <v>19</v>
      </c>
      <c r="C334" t="s">
        <v>78</v>
      </c>
      <c r="D334" t="s">
        <v>38</v>
      </c>
      <c r="E334" t="s">
        <v>16</v>
      </c>
      <c r="F334" t="s">
        <v>17</v>
      </c>
      <c r="G334">
        <v>967</v>
      </c>
      <c r="H334">
        <v>9</v>
      </c>
      <c r="I334">
        <v>8703</v>
      </c>
      <c r="J334">
        <v>3.7</v>
      </c>
      <c r="K334" t="s">
        <v>28</v>
      </c>
      <c r="L334">
        <v>8</v>
      </c>
      <c r="M334" t="str">
        <f t="shared" si="15"/>
        <v>August</v>
      </c>
      <c r="N334">
        <v>2025</v>
      </c>
      <c r="O334">
        <f t="shared" si="16"/>
        <v>6092.0999999999995</v>
      </c>
      <c r="P334">
        <f t="shared" si="17"/>
        <v>2610.9000000000005</v>
      </c>
    </row>
    <row r="335" spans="1:16">
      <c r="A335">
        <v>334</v>
      </c>
      <c r="B335" t="s">
        <v>24</v>
      </c>
      <c r="C335" t="s">
        <v>206</v>
      </c>
      <c r="D335" t="s">
        <v>32</v>
      </c>
      <c r="E335" t="s">
        <v>16</v>
      </c>
      <c r="F335" t="s">
        <v>22</v>
      </c>
      <c r="G335">
        <v>320</v>
      </c>
      <c r="H335">
        <v>8</v>
      </c>
      <c r="I335">
        <v>2560</v>
      </c>
      <c r="J335">
        <v>3.3</v>
      </c>
      <c r="K335" t="s">
        <v>23</v>
      </c>
      <c r="L335">
        <v>3</v>
      </c>
      <c r="M335" t="str">
        <f t="shared" si="15"/>
        <v>March</v>
      </c>
      <c r="N335">
        <v>2025</v>
      </c>
      <c r="O335">
        <f t="shared" si="16"/>
        <v>1792</v>
      </c>
      <c r="P335">
        <f t="shared" si="17"/>
        <v>768</v>
      </c>
    </row>
    <row r="336" spans="1:16">
      <c r="A336">
        <v>335</v>
      </c>
      <c r="B336" t="s">
        <v>13</v>
      </c>
      <c r="C336" t="s">
        <v>14</v>
      </c>
      <c r="D336" t="s">
        <v>26</v>
      </c>
      <c r="E336" t="s">
        <v>16</v>
      </c>
      <c r="F336" t="s">
        <v>34</v>
      </c>
      <c r="G336">
        <v>562</v>
      </c>
      <c r="H336">
        <v>18</v>
      </c>
      <c r="I336">
        <v>10116</v>
      </c>
      <c r="J336">
        <v>5</v>
      </c>
      <c r="K336" t="s">
        <v>35</v>
      </c>
      <c r="L336">
        <v>1</v>
      </c>
      <c r="M336" t="str">
        <f t="shared" si="15"/>
        <v>January</v>
      </c>
      <c r="N336">
        <v>2025</v>
      </c>
      <c r="O336">
        <f t="shared" si="16"/>
        <v>7081.2</v>
      </c>
      <c r="P336">
        <f t="shared" si="17"/>
        <v>3034.8</v>
      </c>
    </row>
    <row r="337" spans="1:16">
      <c r="A337">
        <v>336</v>
      </c>
      <c r="B337" t="s">
        <v>55</v>
      </c>
      <c r="C337" t="s">
        <v>97</v>
      </c>
      <c r="D337" t="s">
        <v>26</v>
      </c>
      <c r="E337" t="s">
        <v>50</v>
      </c>
      <c r="F337" t="s">
        <v>34</v>
      </c>
      <c r="G337">
        <v>1068</v>
      </c>
      <c r="H337">
        <v>12</v>
      </c>
      <c r="I337">
        <v>12816</v>
      </c>
      <c r="J337">
        <v>3.8</v>
      </c>
      <c r="K337" t="s">
        <v>28</v>
      </c>
      <c r="L337">
        <v>5</v>
      </c>
      <c r="M337" t="str">
        <f t="shared" si="15"/>
        <v>May</v>
      </c>
      <c r="N337">
        <v>2025</v>
      </c>
      <c r="O337">
        <f t="shared" si="16"/>
        <v>8971.1999999999989</v>
      </c>
      <c r="P337">
        <f t="shared" si="17"/>
        <v>3844.8000000000011</v>
      </c>
    </row>
    <row r="338" spans="1:16">
      <c r="A338">
        <v>337</v>
      </c>
      <c r="B338" t="s">
        <v>24</v>
      </c>
      <c r="C338" t="s">
        <v>203</v>
      </c>
      <c r="D338" t="s">
        <v>30</v>
      </c>
      <c r="E338" t="s">
        <v>16</v>
      </c>
      <c r="F338" t="s">
        <v>34</v>
      </c>
      <c r="G338">
        <v>1019</v>
      </c>
      <c r="H338">
        <v>6</v>
      </c>
      <c r="I338">
        <v>6114</v>
      </c>
      <c r="J338">
        <v>3.3</v>
      </c>
      <c r="K338" t="s">
        <v>23</v>
      </c>
      <c r="L338">
        <v>11</v>
      </c>
      <c r="M338" t="str">
        <f t="shared" si="15"/>
        <v>November</v>
      </c>
      <c r="N338">
        <v>2025</v>
      </c>
      <c r="O338">
        <f t="shared" si="16"/>
        <v>4279.8</v>
      </c>
      <c r="P338">
        <f t="shared" si="17"/>
        <v>1834.1999999999998</v>
      </c>
    </row>
    <row r="339" spans="1:16">
      <c r="A339">
        <v>338</v>
      </c>
      <c r="B339" t="s">
        <v>13</v>
      </c>
      <c r="C339" t="s">
        <v>75</v>
      </c>
      <c r="D339" t="s">
        <v>30</v>
      </c>
      <c r="E339" t="s">
        <v>16</v>
      </c>
      <c r="F339" t="s">
        <v>34</v>
      </c>
      <c r="G339">
        <v>592</v>
      </c>
      <c r="H339">
        <v>7</v>
      </c>
      <c r="I339">
        <v>4144</v>
      </c>
      <c r="J339">
        <v>3.9</v>
      </c>
      <c r="K339" t="s">
        <v>18</v>
      </c>
      <c r="L339">
        <v>3</v>
      </c>
      <c r="M339" t="str">
        <f t="shared" si="15"/>
        <v>March</v>
      </c>
      <c r="N339">
        <v>2025</v>
      </c>
      <c r="O339">
        <f t="shared" si="16"/>
        <v>2900.7999999999997</v>
      </c>
      <c r="P339">
        <f t="shared" si="17"/>
        <v>1243.2000000000003</v>
      </c>
    </row>
    <row r="340" spans="1:16">
      <c r="A340">
        <v>339</v>
      </c>
      <c r="B340" t="s">
        <v>36</v>
      </c>
      <c r="C340" t="s">
        <v>146</v>
      </c>
      <c r="D340" t="s">
        <v>26</v>
      </c>
      <c r="E340" t="s">
        <v>50</v>
      </c>
      <c r="F340" t="s">
        <v>63</v>
      </c>
      <c r="G340">
        <v>1437</v>
      </c>
      <c r="H340">
        <v>5</v>
      </c>
      <c r="I340">
        <v>7185</v>
      </c>
      <c r="J340">
        <v>4</v>
      </c>
      <c r="K340" t="s">
        <v>18</v>
      </c>
      <c r="L340">
        <v>11</v>
      </c>
      <c r="M340" t="str">
        <f t="shared" si="15"/>
        <v>November</v>
      </c>
      <c r="N340">
        <v>2025</v>
      </c>
      <c r="O340">
        <f t="shared" si="16"/>
        <v>5029.5</v>
      </c>
      <c r="P340">
        <f t="shared" si="17"/>
        <v>2155.5</v>
      </c>
    </row>
    <row r="341" spans="1:16">
      <c r="A341">
        <v>340</v>
      </c>
      <c r="B341" t="s">
        <v>64</v>
      </c>
      <c r="C341" t="s">
        <v>207</v>
      </c>
      <c r="D341" t="s">
        <v>15</v>
      </c>
      <c r="E341" t="s">
        <v>33</v>
      </c>
      <c r="F341" t="s">
        <v>27</v>
      </c>
      <c r="G341">
        <v>1236</v>
      </c>
      <c r="H341">
        <v>13</v>
      </c>
      <c r="I341">
        <v>16068</v>
      </c>
      <c r="J341">
        <v>4.5999999999999996</v>
      </c>
      <c r="K341" t="s">
        <v>18</v>
      </c>
      <c r="L341">
        <v>6</v>
      </c>
      <c r="M341" t="str">
        <f t="shared" si="15"/>
        <v>June</v>
      </c>
      <c r="N341">
        <v>2025</v>
      </c>
      <c r="O341">
        <f t="shared" si="16"/>
        <v>11247.599999999999</v>
      </c>
      <c r="P341">
        <f t="shared" si="17"/>
        <v>4820.4000000000015</v>
      </c>
    </row>
    <row r="342" spans="1:16">
      <c r="A342">
        <v>341</v>
      </c>
      <c r="B342" t="s">
        <v>40</v>
      </c>
      <c r="C342" t="s">
        <v>74</v>
      </c>
      <c r="D342" t="s">
        <v>42</v>
      </c>
      <c r="E342" t="s">
        <v>33</v>
      </c>
      <c r="F342" t="s">
        <v>34</v>
      </c>
      <c r="G342">
        <v>1085</v>
      </c>
      <c r="H342">
        <v>20</v>
      </c>
      <c r="I342">
        <v>21700</v>
      </c>
      <c r="J342">
        <v>3.8</v>
      </c>
      <c r="K342" t="s">
        <v>28</v>
      </c>
      <c r="L342">
        <v>2</v>
      </c>
      <c r="M342" t="str">
        <f t="shared" si="15"/>
        <v>February</v>
      </c>
      <c r="N342">
        <v>2025</v>
      </c>
      <c r="O342">
        <f t="shared" si="16"/>
        <v>15189.999999999998</v>
      </c>
      <c r="P342">
        <f t="shared" si="17"/>
        <v>6510.0000000000018</v>
      </c>
    </row>
    <row r="343" spans="1:16">
      <c r="A343">
        <v>342</v>
      </c>
      <c r="B343" t="s">
        <v>55</v>
      </c>
      <c r="C343" t="s">
        <v>160</v>
      </c>
      <c r="D343" t="s">
        <v>32</v>
      </c>
      <c r="E343" t="s">
        <v>16</v>
      </c>
      <c r="F343" t="s">
        <v>39</v>
      </c>
      <c r="G343">
        <v>1270</v>
      </c>
      <c r="H343">
        <v>2</v>
      </c>
      <c r="I343">
        <v>2540</v>
      </c>
      <c r="J343">
        <v>3.4</v>
      </c>
      <c r="K343" t="s">
        <v>23</v>
      </c>
      <c r="L343">
        <v>1</v>
      </c>
      <c r="M343" t="str">
        <f t="shared" si="15"/>
        <v>January</v>
      </c>
      <c r="N343">
        <v>2025</v>
      </c>
      <c r="O343">
        <f t="shared" si="16"/>
        <v>1778</v>
      </c>
      <c r="P343">
        <f t="shared" si="17"/>
        <v>762</v>
      </c>
    </row>
    <row r="344" spans="1:16">
      <c r="A344">
        <v>343</v>
      </c>
      <c r="B344" t="s">
        <v>64</v>
      </c>
      <c r="C344" t="s">
        <v>208</v>
      </c>
      <c r="D344" t="s">
        <v>21</v>
      </c>
      <c r="E344" t="s">
        <v>43</v>
      </c>
      <c r="F344" t="s">
        <v>22</v>
      </c>
      <c r="G344">
        <v>422</v>
      </c>
      <c r="H344">
        <v>18</v>
      </c>
      <c r="I344">
        <v>7596</v>
      </c>
      <c r="J344">
        <v>3.6</v>
      </c>
      <c r="K344" t="s">
        <v>28</v>
      </c>
      <c r="L344">
        <v>9</v>
      </c>
      <c r="M344" t="str">
        <f t="shared" si="15"/>
        <v>September</v>
      </c>
      <c r="N344">
        <v>2025</v>
      </c>
      <c r="O344">
        <f t="shared" si="16"/>
        <v>5317.2</v>
      </c>
      <c r="P344">
        <f t="shared" si="17"/>
        <v>2278.8000000000002</v>
      </c>
    </row>
    <row r="345" spans="1:16">
      <c r="A345">
        <v>344</v>
      </c>
      <c r="B345" t="s">
        <v>24</v>
      </c>
      <c r="C345" t="s">
        <v>109</v>
      </c>
      <c r="D345" t="s">
        <v>26</v>
      </c>
      <c r="E345" t="s">
        <v>33</v>
      </c>
      <c r="F345" t="s">
        <v>27</v>
      </c>
      <c r="G345">
        <v>1464</v>
      </c>
      <c r="H345">
        <v>19</v>
      </c>
      <c r="I345">
        <v>27816</v>
      </c>
      <c r="J345">
        <v>3.8</v>
      </c>
      <c r="K345" t="s">
        <v>35</v>
      </c>
      <c r="L345">
        <v>2</v>
      </c>
      <c r="M345" t="str">
        <f t="shared" si="15"/>
        <v>February</v>
      </c>
      <c r="N345">
        <v>2025</v>
      </c>
      <c r="O345">
        <f t="shared" si="16"/>
        <v>19471.199999999997</v>
      </c>
      <c r="P345">
        <f t="shared" si="17"/>
        <v>8344.8000000000029</v>
      </c>
    </row>
    <row r="346" spans="1:16">
      <c r="A346">
        <v>345</v>
      </c>
      <c r="B346" t="s">
        <v>64</v>
      </c>
      <c r="C346" t="s">
        <v>115</v>
      </c>
      <c r="D346" t="s">
        <v>21</v>
      </c>
      <c r="E346" t="s">
        <v>33</v>
      </c>
      <c r="F346" t="s">
        <v>34</v>
      </c>
      <c r="G346">
        <v>1160</v>
      </c>
      <c r="H346">
        <v>7</v>
      </c>
      <c r="I346">
        <v>8120</v>
      </c>
      <c r="J346">
        <v>3.8</v>
      </c>
      <c r="K346" t="s">
        <v>23</v>
      </c>
      <c r="L346">
        <v>4</v>
      </c>
      <c r="M346" t="str">
        <f t="shared" si="15"/>
        <v>April</v>
      </c>
      <c r="N346">
        <v>2025</v>
      </c>
      <c r="O346">
        <f t="shared" si="16"/>
        <v>5684</v>
      </c>
      <c r="P346">
        <f t="shared" si="17"/>
        <v>2436</v>
      </c>
    </row>
    <row r="347" spans="1:16">
      <c r="A347">
        <v>346</v>
      </c>
      <c r="B347" t="s">
        <v>40</v>
      </c>
      <c r="C347" t="s">
        <v>106</v>
      </c>
      <c r="D347" t="s">
        <v>21</v>
      </c>
      <c r="E347" t="s">
        <v>43</v>
      </c>
      <c r="F347" t="s">
        <v>22</v>
      </c>
      <c r="G347">
        <v>812</v>
      </c>
      <c r="H347">
        <v>3</v>
      </c>
      <c r="I347">
        <v>2436</v>
      </c>
      <c r="J347">
        <v>3.2</v>
      </c>
      <c r="K347" t="s">
        <v>28</v>
      </c>
      <c r="L347">
        <v>3</v>
      </c>
      <c r="M347" t="str">
        <f t="shared" si="15"/>
        <v>March</v>
      </c>
      <c r="N347">
        <v>2025</v>
      </c>
      <c r="O347">
        <f t="shared" si="16"/>
        <v>1705.1999999999998</v>
      </c>
      <c r="P347">
        <f t="shared" si="17"/>
        <v>730.80000000000018</v>
      </c>
    </row>
    <row r="348" spans="1:16">
      <c r="A348">
        <v>347</v>
      </c>
      <c r="B348" t="s">
        <v>24</v>
      </c>
      <c r="C348" t="s">
        <v>176</v>
      </c>
      <c r="D348" t="s">
        <v>15</v>
      </c>
      <c r="E348" t="s">
        <v>33</v>
      </c>
      <c r="F348" t="s">
        <v>27</v>
      </c>
      <c r="G348">
        <v>528</v>
      </c>
      <c r="H348">
        <v>20</v>
      </c>
      <c r="I348">
        <v>10560</v>
      </c>
      <c r="J348">
        <v>3.4</v>
      </c>
      <c r="K348" t="s">
        <v>18</v>
      </c>
      <c r="L348">
        <v>8</v>
      </c>
      <c r="M348" t="str">
        <f t="shared" si="15"/>
        <v>August</v>
      </c>
      <c r="N348">
        <v>2025</v>
      </c>
      <c r="O348">
        <f t="shared" si="16"/>
        <v>7391.9999999999991</v>
      </c>
      <c r="P348">
        <f t="shared" si="17"/>
        <v>3168.0000000000009</v>
      </c>
    </row>
    <row r="349" spans="1:16">
      <c r="A349">
        <v>348</v>
      </c>
      <c r="B349" t="s">
        <v>64</v>
      </c>
      <c r="C349" t="s">
        <v>140</v>
      </c>
      <c r="D349" t="s">
        <v>42</v>
      </c>
      <c r="E349" t="s">
        <v>50</v>
      </c>
      <c r="F349" t="s">
        <v>22</v>
      </c>
      <c r="G349">
        <v>577</v>
      </c>
      <c r="H349">
        <v>3</v>
      </c>
      <c r="I349">
        <v>1731</v>
      </c>
      <c r="J349">
        <v>3.2</v>
      </c>
      <c r="K349" t="s">
        <v>47</v>
      </c>
      <c r="L349">
        <v>6</v>
      </c>
      <c r="M349" t="str">
        <f t="shared" si="15"/>
        <v>June</v>
      </c>
      <c r="N349">
        <v>2025</v>
      </c>
      <c r="O349">
        <f t="shared" si="16"/>
        <v>1211.6999999999998</v>
      </c>
      <c r="P349">
        <f t="shared" si="17"/>
        <v>519.30000000000018</v>
      </c>
    </row>
    <row r="350" spans="1:16">
      <c r="A350">
        <v>349</v>
      </c>
      <c r="B350" t="s">
        <v>69</v>
      </c>
      <c r="C350" t="s">
        <v>209</v>
      </c>
      <c r="D350" t="s">
        <v>30</v>
      </c>
      <c r="E350" t="s">
        <v>43</v>
      </c>
      <c r="F350" t="s">
        <v>22</v>
      </c>
      <c r="G350">
        <v>1059</v>
      </c>
      <c r="H350">
        <v>1</v>
      </c>
      <c r="I350">
        <v>1059</v>
      </c>
      <c r="J350">
        <v>3.1</v>
      </c>
      <c r="K350" t="s">
        <v>23</v>
      </c>
      <c r="L350">
        <v>12</v>
      </c>
      <c r="M350" t="str">
        <f t="shared" si="15"/>
        <v>December</v>
      </c>
      <c r="N350">
        <v>2025</v>
      </c>
      <c r="O350">
        <f t="shared" si="16"/>
        <v>741.3</v>
      </c>
      <c r="P350">
        <f t="shared" si="17"/>
        <v>317.70000000000005</v>
      </c>
    </row>
    <row r="351" spans="1:16">
      <c r="A351">
        <v>350</v>
      </c>
      <c r="B351" t="s">
        <v>24</v>
      </c>
      <c r="C351" t="s">
        <v>210</v>
      </c>
      <c r="D351" t="s">
        <v>76</v>
      </c>
      <c r="E351" t="s">
        <v>50</v>
      </c>
      <c r="F351" t="s">
        <v>63</v>
      </c>
      <c r="G351">
        <v>1156</v>
      </c>
      <c r="H351">
        <v>8</v>
      </c>
      <c r="I351">
        <v>9248</v>
      </c>
      <c r="J351">
        <v>3.7</v>
      </c>
      <c r="K351" t="s">
        <v>18</v>
      </c>
      <c r="L351">
        <v>3</v>
      </c>
      <c r="M351" t="str">
        <f t="shared" si="15"/>
        <v>March</v>
      </c>
      <c r="N351">
        <v>2025</v>
      </c>
      <c r="O351">
        <f t="shared" si="16"/>
        <v>6473.5999999999995</v>
      </c>
      <c r="P351">
        <f t="shared" si="17"/>
        <v>2774.4000000000005</v>
      </c>
    </row>
    <row r="352" spans="1:16">
      <c r="A352">
        <v>351</v>
      </c>
      <c r="B352" t="s">
        <v>40</v>
      </c>
      <c r="C352" t="s">
        <v>182</v>
      </c>
      <c r="D352" t="s">
        <v>60</v>
      </c>
      <c r="E352" t="s">
        <v>43</v>
      </c>
      <c r="F352" t="s">
        <v>17</v>
      </c>
      <c r="G352">
        <v>1476</v>
      </c>
      <c r="H352">
        <v>18</v>
      </c>
      <c r="I352">
        <v>26568</v>
      </c>
      <c r="J352">
        <v>4</v>
      </c>
      <c r="K352" t="s">
        <v>23</v>
      </c>
      <c r="L352">
        <v>4</v>
      </c>
      <c r="M352" t="str">
        <f t="shared" si="15"/>
        <v>April</v>
      </c>
      <c r="N352">
        <v>2025</v>
      </c>
      <c r="O352">
        <f t="shared" si="16"/>
        <v>18597.599999999999</v>
      </c>
      <c r="P352">
        <f t="shared" si="17"/>
        <v>7970.4000000000015</v>
      </c>
    </row>
    <row r="353" spans="1:16">
      <c r="A353">
        <v>352</v>
      </c>
      <c r="B353" t="s">
        <v>55</v>
      </c>
      <c r="C353" t="s">
        <v>119</v>
      </c>
      <c r="D353" t="s">
        <v>15</v>
      </c>
      <c r="E353" t="s">
        <v>33</v>
      </c>
      <c r="F353" t="s">
        <v>63</v>
      </c>
      <c r="G353">
        <v>1481</v>
      </c>
      <c r="H353">
        <v>12</v>
      </c>
      <c r="I353">
        <v>17772</v>
      </c>
      <c r="J353">
        <v>3.1</v>
      </c>
      <c r="K353" t="s">
        <v>18</v>
      </c>
      <c r="L353">
        <v>10</v>
      </c>
      <c r="M353" t="str">
        <f t="shared" si="15"/>
        <v>October</v>
      </c>
      <c r="N353">
        <v>2025</v>
      </c>
      <c r="O353">
        <f t="shared" si="16"/>
        <v>12440.4</v>
      </c>
      <c r="P353">
        <f t="shared" si="17"/>
        <v>5331.6</v>
      </c>
    </row>
    <row r="354" spans="1:16">
      <c r="A354">
        <v>353</v>
      </c>
      <c r="B354" t="s">
        <v>69</v>
      </c>
      <c r="C354" t="s">
        <v>98</v>
      </c>
      <c r="D354" t="s">
        <v>38</v>
      </c>
      <c r="E354" t="s">
        <v>16</v>
      </c>
      <c r="F354" t="s">
        <v>34</v>
      </c>
      <c r="G354">
        <v>902</v>
      </c>
      <c r="H354">
        <v>19</v>
      </c>
      <c r="I354">
        <v>17138</v>
      </c>
      <c r="J354">
        <v>4.7</v>
      </c>
      <c r="K354" t="s">
        <v>47</v>
      </c>
      <c r="L354">
        <v>3</v>
      </c>
      <c r="M354" t="str">
        <f t="shared" si="15"/>
        <v>March</v>
      </c>
      <c r="N354">
        <v>2025</v>
      </c>
      <c r="O354">
        <f t="shared" si="16"/>
        <v>11996.599999999999</v>
      </c>
      <c r="P354">
        <f t="shared" si="17"/>
        <v>5141.4000000000015</v>
      </c>
    </row>
    <row r="355" spans="1:16">
      <c r="A355">
        <v>354</v>
      </c>
      <c r="B355" t="s">
        <v>69</v>
      </c>
      <c r="C355" t="s">
        <v>211</v>
      </c>
      <c r="D355" t="s">
        <v>15</v>
      </c>
      <c r="E355" t="s">
        <v>33</v>
      </c>
      <c r="F355" t="s">
        <v>22</v>
      </c>
      <c r="G355">
        <v>1412</v>
      </c>
      <c r="H355">
        <v>5</v>
      </c>
      <c r="I355">
        <v>7060</v>
      </c>
      <c r="J355">
        <v>3.8</v>
      </c>
      <c r="K355" t="s">
        <v>18</v>
      </c>
      <c r="L355">
        <v>2</v>
      </c>
      <c r="M355" t="str">
        <f t="shared" si="15"/>
        <v>February</v>
      </c>
      <c r="N355">
        <v>2025</v>
      </c>
      <c r="O355">
        <f t="shared" si="16"/>
        <v>4942</v>
      </c>
      <c r="P355">
        <f t="shared" si="17"/>
        <v>2118</v>
      </c>
    </row>
    <row r="356" spans="1:16">
      <c r="A356">
        <v>355</v>
      </c>
      <c r="B356" t="s">
        <v>36</v>
      </c>
      <c r="C356" t="s">
        <v>139</v>
      </c>
      <c r="D356" t="s">
        <v>30</v>
      </c>
      <c r="E356" t="s">
        <v>33</v>
      </c>
      <c r="F356" t="s">
        <v>39</v>
      </c>
      <c r="G356">
        <v>416</v>
      </c>
      <c r="H356">
        <v>15</v>
      </c>
      <c r="I356">
        <v>6240</v>
      </c>
      <c r="J356">
        <v>3</v>
      </c>
      <c r="K356" t="s">
        <v>35</v>
      </c>
      <c r="L356">
        <v>3</v>
      </c>
      <c r="M356" t="str">
        <f t="shared" si="15"/>
        <v>March</v>
      </c>
      <c r="N356">
        <v>2025</v>
      </c>
      <c r="O356">
        <f t="shared" si="16"/>
        <v>4368</v>
      </c>
      <c r="P356">
        <f t="shared" si="17"/>
        <v>1872</v>
      </c>
    </row>
    <row r="357" spans="1:16">
      <c r="A357">
        <v>356</v>
      </c>
      <c r="B357" t="s">
        <v>44</v>
      </c>
      <c r="C357" t="s">
        <v>79</v>
      </c>
      <c r="D357" t="s">
        <v>32</v>
      </c>
      <c r="E357" t="s">
        <v>33</v>
      </c>
      <c r="F357" t="s">
        <v>34</v>
      </c>
      <c r="G357">
        <v>1271</v>
      </c>
      <c r="H357">
        <v>18</v>
      </c>
      <c r="I357">
        <v>22878</v>
      </c>
      <c r="J357">
        <v>5</v>
      </c>
      <c r="K357" t="s">
        <v>23</v>
      </c>
      <c r="L357">
        <v>12</v>
      </c>
      <c r="M357" t="str">
        <f t="shared" si="15"/>
        <v>December</v>
      </c>
      <c r="N357">
        <v>2025</v>
      </c>
      <c r="O357">
        <f t="shared" si="16"/>
        <v>16014.599999999999</v>
      </c>
      <c r="P357">
        <f t="shared" si="17"/>
        <v>6863.4000000000015</v>
      </c>
    </row>
    <row r="358" spans="1:16">
      <c r="A358">
        <v>357</v>
      </c>
      <c r="B358" t="s">
        <v>19</v>
      </c>
      <c r="C358" t="s">
        <v>193</v>
      </c>
      <c r="D358" t="s">
        <v>38</v>
      </c>
      <c r="E358" t="s">
        <v>50</v>
      </c>
      <c r="F358" t="s">
        <v>39</v>
      </c>
      <c r="G358">
        <v>431</v>
      </c>
      <c r="H358">
        <v>1</v>
      </c>
      <c r="I358">
        <v>431</v>
      </c>
      <c r="J358">
        <v>4.8</v>
      </c>
      <c r="K358" t="s">
        <v>35</v>
      </c>
      <c r="L358">
        <v>4</v>
      </c>
      <c r="M358" t="str">
        <f t="shared" si="15"/>
        <v>April</v>
      </c>
      <c r="N358">
        <v>2025</v>
      </c>
      <c r="O358">
        <f t="shared" si="16"/>
        <v>301.7</v>
      </c>
      <c r="P358">
        <f t="shared" si="17"/>
        <v>129.30000000000001</v>
      </c>
    </row>
    <row r="359" spans="1:16">
      <c r="A359">
        <v>358</v>
      </c>
      <c r="B359" t="s">
        <v>64</v>
      </c>
      <c r="C359" t="s">
        <v>208</v>
      </c>
      <c r="D359" t="s">
        <v>15</v>
      </c>
      <c r="E359" t="s">
        <v>50</v>
      </c>
      <c r="F359" t="s">
        <v>27</v>
      </c>
      <c r="G359">
        <v>826</v>
      </c>
      <c r="H359">
        <v>9</v>
      </c>
      <c r="I359">
        <v>7434</v>
      </c>
      <c r="J359">
        <v>3.5</v>
      </c>
      <c r="K359" t="s">
        <v>18</v>
      </c>
      <c r="L359">
        <v>4</v>
      </c>
      <c r="M359" t="str">
        <f t="shared" si="15"/>
        <v>April</v>
      </c>
      <c r="N359">
        <v>2025</v>
      </c>
      <c r="O359">
        <f t="shared" si="16"/>
        <v>5203.7999999999993</v>
      </c>
      <c r="P359">
        <f t="shared" si="17"/>
        <v>2230.2000000000007</v>
      </c>
    </row>
    <row r="360" spans="1:16">
      <c r="A360">
        <v>359</v>
      </c>
      <c r="B360" t="s">
        <v>19</v>
      </c>
      <c r="C360" t="s">
        <v>178</v>
      </c>
      <c r="D360" t="s">
        <v>57</v>
      </c>
      <c r="E360" t="s">
        <v>43</v>
      </c>
      <c r="F360" t="s">
        <v>34</v>
      </c>
      <c r="G360">
        <v>726</v>
      </c>
      <c r="H360">
        <v>1</v>
      </c>
      <c r="I360">
        <v>726</v>
      </c>
      <c r="J360">
        <v>4.7</v>
      </c>
      <c r="K360" t="s">
        <v>35</v>
      </c>
      <c r="L360">
        <v>9</v>
      </c>
      <c r="M360" t="str">
        <f t="shared" si="15"/>
        <v>September</v>
      </c>
      <c r="N360">
        <v>2025</v>
      </c>
      <c r="O360">
        <f t="shared" si="16"/>
        <v>508.2</v>
      </c>
      <c r="P360">
        <f t="shared" si="17"/>
        <v>217.8</v>
      </c>
    </row>
    <row r="361" spans="1:16">
      <c r="A361">
        <v>360</v>
      </c>
      <c r="B361" t="s">
        <v>24</v>
      </c>
      <c r="C361" t="s">
        <v>152</v>
      </c>
      <c r="D361" t="s">
        <v>42</v>
      </c>
      <c r="E361" t="s">
        <v>43</v>
      </c>
      <c r="F361" t="s">
        <v>22</v>
      </c>
      <c r="G361">
        <v>723</v>
      </c>
      <c r="H361">
        <v>7</v>
      </c>
      <c r="I361">
        <v>5061</v>
      </c>
      <c r="J361">
        <v>3.6</v>
      </c>
      <c r="K361" t="s">
        <v>28</v>
      </c>
      <c r="L361">
        <v>5</v>
      </c>
      <c r="M361" t="str">
        <f t="shared" si="15"/>
        <v>May</v>
      </c>
      <c r="N361">
        <v>2025</v>
      </c>
      <c r="O361">
        <f t="shared" si="16"/>
        <v>3542.7</v>
      </c>
      <c r="P361">
        <f t="shared" si="17"/>
        <v>1518.3000000000002</v>
      </c>
    </row>
    <row r="362" spans="1:16">
      <c r="A362">
        <v>361</v>
      </c>
      <c r="B362" t="s">
        <v>19</v>
      </c>
      <c r="C362" t="s">
        <v>130</v>
      </c>
      <c r="D362" t="s">
        <v>76</v>
      </c>
      <c r="E362" t="s">
        <v>16</v>
      </c>
      <c r="F362" t="s">
        <v>27</v>
      </c>
      <c r="G362">
        <v>940</v>
      </c>
      <c r="H362">
        <v>18</v>
      </c>
      <c r="I362">
        <v>16920</v>
      </c>
      <c r="J362">
        <v>4.0999999999999996</v>
      </c>
      <c r="K362" t="s">
        <v>47</v>
      </c>
      <c r="L362">
        <v>9</v>
      </c>
      <c r="M362" t="str">
        <f t="shared" si="15"/>
        <v>September</v>
      </c>
      <c r="N362">
        <v>2025</v>
      </c>
      <c r="O362">
        <f t="shared" si="16"/>
        <v>11844</v>
      </c>
      <c r="P362">
        <f t="shared" si="17"/>
        <v>5076</v>
      </c>
    </row>
    <row r="363" spans="1:16">
      <c r="A363">
        <v>362</v>
      </c>
      <c r="B363" t="s">
        <v>40</v>
      </c>
      <c r="C363" t="s">
        <v>204</v>
      </c>
      <c r="D363" t="s">
        <v>26</v>
      </c>
      <c r="E363" t="s">
        <v>43</v>
      </c>
      <c r="F363" t="s">
        <v>63</v>
      </c>
      <c r="G363">
        <v>1036</v>
      </c>
      <c r="H363">
        <v>19</v>
      </c>
      <c r="I363">
        <v>19684</v>
      </c>
      <c r="J363">
        <v>4.5</v>
      </c>
      <c r="K363" t="s">
        <v>18</v>
      </c>
      <c r="L363">
        <v>11</v>
      </c>
      <c r="M363" t="str">
        <f t="shared" si="15"/>
        <v>November</v>
      </c>
      <c r="N363">
        <v>2025</v>
      </c>
      <c r="O363">
        <f t="shared" si="16"/>
        <v>13778.8</v>
      </c>
      <c r="P363">
        <f t="shared" si="17"/>
        <v>5905.2000000000007</v>
      </c>
    </row>
    <row r="364" spans="1:16">
      <c r="A364">
        <v>363</v>
      </c>
      <c r="B364" t="s">
        <v>40</v>
      </c>
      <c r="C364" t="s">
        <v>46</v>
      </c>
      <c r="D364" t="s">
        <v>21</v>
      </c>
      <c r="E364" t="s">
        <v>33</v>
      </c>
      <c r="F364" t="s">
        <v>39</v>
      </c>
      <c r="G364">
        <v>1252</v>
      </c>
      <c r="H364">
        <v>19</v>
      </c>
      <c r="I364">
        <v>23788</v>
      </c>
      <c r="J364">
        <v>3.4</v>
      </c>
      <c r="K364" t="s">
        <v>28</v>
      </c>
      <c r="L364">
        <v>3</v>
      </c>
      <c r="M364" t="str">
        <f t="shared" si="15"/>
        <v>March</v>
      </c>
      <c r="N364">
        <v>2025</v>
      </c>
      <c r="O364">
        <f t="shared" si="16"/>
        <v>16651.599999999999</v>
      </c>
      <c r="P364">
        <f t="shared" si="17"/>
        <v>7136.4000000000015</v>
      </c>
    </row>
    <row r="365" spans="1:16">
      <c r="A365">
        <v>364</v>
      </c>
      <c r="B365" t="s">
        <v>19</v>
      </c>
      <c r="C365" t="s">
        <v>29</v>
      </c>
      <c r="D365" t="s">
        <v>26</v>
      </c>
      <c r="E365" t="s">
        <v>50</v>
      </c>
      <c r="F365" t="s">
        <v>27</v>
      </c>
      <c r="G365">
        <v>1254</v>
      </c>
      <c r="H365">
        <v>16</v>
      </c>
      <c r="I365">
        <v>20064</v>
      </c>
      <c r="J365">
        <v>4.9000000000000004</v>
      </c>
      <c r="K365" t="s">
        <v>47</v>
      </c>
      <c r="L365">
        <v>7</v>
      </c>
      <c r="M365" t="str">
        <f t="shared" si="15"/>
        <v>July</v>
      </c>
      <c r="N365">
        <v>2025</v>
      </c>
      <c r="O365">
        <f t="shared" si="16"/>
        <v>14044.8</v>
      </c>
      <c r="P365">
        <f t="shared" si="17"/>
        <v>6019.2000000000007</v>
      </c>
    </row>
    <row r="366" spans="1:16">
      <c r="A366">
        <v>365</v>
      </c>
      <c r="B366" t="s">
        <v>24</v>
      </c>
      <c r="C366" t="s">
        <v>25</v>
      </c>
      <c r="D366" t="s">
        <v>32</v>
      </c>
      <c r="E366" t="s">
        <v>43</v>
      </c>
      <c r="F366" t="s">
        <v>39</v>
      </c>
      <c r="G366">
        <v>843</v>
      </c>
      <c r="H366">
        <v>8</v>
      </c>
      <c r="I366">
        <v>6744</v>
      </c>
      <c r="J366">
        <v>3.3</v>
      </c>
      <c r="K366" t="s">
        <v>28</v>
      </c>
      <c r="L366">
        <v>7</v>
      </c>
      <c r="M366" t="str">
        <f t="shared" si="15"/>
        <v>July</v>
      </c>
      <c r="N366">
        <v>2025</v>
      </c>
      <c r="O366">
        <f t="shared" si="16"/>
        <v>4720.7999999999993</v>
      </c>
      <c r="P366">
        <f t="shared" si="17"/>
        <v>2023.2000000000007</v>
      </c>
    </row>
    <row r="367" spans="1:16">
      <c r="A367">
        <v>366</v>
      </c>
      <c r="B367" t="s">
        <v>24</v>
      </c>
      <c r="C367" t="s">
        <v>93</v>
      </c>
      <c r="D367" t="s">
        <v>42</v>
      </c>
      <c r="E367" t="s">
        <v>43</v>
      </c>
      <c r="F367" t="s">
        <v>22</v>
      </c>
      <c r="G367">
        <v>1406</v>
      </c>
      <c r="H367">
        <v>9</v>
      </c>
      <c r="I367">
        <v>12654</v>
      </c>
      <c r="J367">
        <v>4.5999999999999996</v>
      </c>
      <c r="K367" t="s">
        <v>35</v>
      </c>
      <c r="L367">
        <v>11</v>
      </c>
      <c r="M367" t="str">
        <f t="shared" si="15"/>
        <v>November</v>
      </c>
      <c r="N367">
        <v>2025</v>
      </c>
      <c r="O367">
        <f t="shared" si="16"/>
        <v>8857.7999999999993</v>
      </c>
      <c r="P367">
        <f t="shared" si="17"/>
        <v>3796.2000000000007</v>
      </c>
    </row>
    <row r="368" spans="1:16">
      <c r="A368">
        <v>367</v>
      </c>
      <c r="B368" t="s">
        <v>19</v>
      </c>
      <c r="C368" t="s">
        <v>130</v>
      </c>
      <c r="D368" t="s">
        <v>30</v>
      </c>
      <c r="E368" t="s">
        <v>43</v>
      </c>
      <c r="F368" t="s">
        <v>39</v>
      </c>
      <c r="G368">
        <v>399</v>
      </c>
      <c r="H368">
        <v>9</v>
      </c>
      <c r="I368">
        <v>3591</v>
      </c>
      <c r="J368">
        <v>4.5999999999999996</v>
      </c>
      <c r="K368" t="s">
        <v>18</v>
      </c>
      <c r="L368">
        <v>7</v>
      </c>
      <c r="M368" t="str">
        <f t="shared" si="15"/>
        <v>July</v>
      </c>
      <c r="N368">
        <v>2025</v>
      </c>
      <c r="O368">
        <f t="shared" si="16"/>
        <v>2513.6999999999998</v>
      </c>
      <c r="P368">
        <f t="shared" si="17"/>
        <v>1077.3000000000002</v>
      </c>
    </row>
    <row r="369" spans="1:16">
      <c r="A369">
        <v>368</v>
      </c>
      <c r="B369" t="s">
        <v>69</v>
      </c>
      <c r="C369" t="s">
        <v>99</v>
      </c>
      <c r="D369" t="s">
        <v>32</v>
      </c>
      <c r="E369" t="s">
        <v>50</v>
      </c>
      <c r="F369" t="s">
        <v>39</v>
      </c>
      <c r="G369">
        <v>1184</v>
      </c>
      <c r="H369">
        <v>4</v>
      </c>
      <c r="I369">
        <v>4736</v>
      </c>
      <c r="J369">
        <v>4.0999999999999996</v>
      </c>
      <c r="K369" t="s">
        <v>23</v>
      </c>
      <c r="L369">
        <v>3</v>
      </c>
      <c r="M369" t="str">
        <f t="shared" si="15"/>
        <v>March</v>
      </c>
      <c r="N369">
        <v>2025</v>
      </c>
      <c r="O369">
        <f t="shared" si="16"/>
        <v>3315.2</v>
      </c>
      <c r="P369">
        <f t="shared" si="17"/>
        <v>1420.8000000000002</v>
      </c>
    </row>
    <row r="370" spans="1:16">
      <c r="A370">
        <v>369</v>
      </c>
      <c r="B370" t="s">
        <v>44</v>
      </c>
      <c r="C370" t="s">
        <v>212</v>
      </c>
      <c r="D370" t="s">
        <v>15</v>
      </c>
      <c r="E370" t="s">
        <v>43</v>
      </c>
      <c r="F370" t="s">
        <v>63</v>
      </c>
      <c r="G370">
        <v>715</v>
      </c>
      <c r="H370">
        <v>4</v>
      </c>
      <c r="I370">
        <v>2860</v>
      </c>
      <c r="J370">
        <v>4.5999999999999996</v>
      </c>
      <c r="K370" t="s">
        <v>23</v>
      </c>
      <c r="L370">
        <v>8</v>
      </c>
      <c r="M370" t="str">
        <f t="shared" si="15"/>
        <v>August</v>
      </c>
      <c r="N370">
        <v>2025</v>
      </c>
      <c r="O370">
        <f t="shared" si="16"/>
        <v>2001.9999999999998</v>
      </c>
      <c r="P370">
        <f t="shared" si="17"/>
        <v>858.00000000000023</v>
      </c>
    </row>
    <row r="371" spans="1:16">
      <c r="A371">
        <v>370</v>
      </c>
      <c r="B371" t="s">
        <v>19</v>
      </c>
      <c r="C371" t="s">
        <v>120</v>
      </c>
      <c r="D371" t="s">
        <v>15</v>
      </c>
      <c r="E371" t="s">
        <v>33</v>
      </c>
      <c r="F371" t="s">
        <v>17</v>
      </c>
      <c r="G371">
        <v>1310</v>
      </c>
      <c r="H371">
        <v>1</v>
      </c>
      <c r="I371">
        <v>1310</v>
      </c>
      <c r="J371">
        <v>4.2</v>
      </c>
      <c r="K371" t="s">
        <v>47</v>
      </c>
      <c r="L371">
        <v>8</v>
      </c>
      <c r="M371" t="str">
        <f t="shared" si="15"/>
        <v>August</v>
      </c>
      <c r="N371">
        <v>2025</v>
      </c>
      <c r="O371">
        <f t="shared" si="16"/>
        <v>916.99999999999989</v>
      </c>
      <c r="P371">
        <f t="shared" si="17"/>
        <v>393.00000000000011</v>
      </c>
    </row>
    <row r="372" spans="1:16">
      <c r="A372">
        <v>371</v>
      </c>
      <c r="B372" t="s">
        <v>55</v>
      </c>
      <c r="C372" t="s">
        <v>100</v>
      </c>
      <c r="D372" t="s">
        <v>38</v>
      </c>
      <c r="E372" t="s">
        <v>16</v>
      </c>
      <c r="F372" t="s">
        <v>22</v>
      </c>
      <c r="G372">
        <v>552</v>
      </c>
      <c r="H372">
        <v>8</v>
      </c>
      <c r="I372">
        <v>4416</v>
      </c>
      <c r="J372">
        <v>3.8</v>
      </c>
      <c r="K372" t="s">
        <v>23</v>
      </c>
      <c r="L372">
        <v>6</v>
      </c>
      <c r="M372" t="str">
        <f t="shared" si="15"/>
        <v>June</v>
      </c>
      <c r="N372">
        <v>2025</v>
      </c>
      <c r="O372">
        <f t="shared" si="16"/>
        <v>3091.2</v>
      </c>
      <c r="P372">
        <f t="shared" si="17"/>
        <v>1324.8000000000002</v>
      </c>
    </row>
    <row r="373" spans="1:16">
      <c r="A373">
        <v>372</v>
      </c>
      <c r="B373" t="s">
        <v>69</v>
      </c>
      <c r="C373" t="s">
        <v>105</v>
      </c>
      <c r="D373" t="s">
        <v>15</v>
      </c>
      <c r="E373" t="s">
        <v>50</v>
      </c>
      <c r="F373" t="s">
        <v>17</v>
      </c>
      <c r="G373">
        <v>1284</v>
      </c>
      <c r="H373">
        <v>17</v>
      </c>
      <c r="I373">
        <v>21828</v>
      </c>
      <c r="J373">
        <v>3.6</v>
      </c>
      <c r="K373" t="s">
        <v>35</v>
      </c>
      <c r="L373">
        <v>9</v>
      </c>
      <c r="M373" t="str">
        <f t="shared" si="15"/>
        <v>September</v>
      </c>
      <c r="N373">
        <v>2025</v>
      </c>
      <c r="O373">
        <f t="shared" si="16"/>
        <v>15279.599999999999</v>
      </c>
      <c r="P373">
        <f t="shared" si="17"/>
        <v>6548.4000000000015</v>
      </c>
    </row>
    <row r="374" spans="1:16">
      <c r="A374">
        <v>373</v>
      </c>
      <c r="B374" t="s">
        <v>69</v>
      </c>
      <c r="C374" t="s">
        <v>143</v>
      </c>
      <c r="D374" t="s">
        <v>30</v>
      </c>
      <c r="E374" t="s">
        <v>50</v>
      </c>
      <c r="F374" t="s">
        <v>17</v>
      </c>
      <c r="G374">
        <v>1026</v>
      </c>
      <c r="H374">
        <v>3</v>
      </c>
      <c r="I374">
        <v>3078</v>
      </c>
      <c r="J374">
        <v>3.5</v>
      </c>
      <c r="K374" t="s">
        <v>18</v>
      </c>
      <c r="L374">
        <v>6</v>
      </c>
      <c r="M374" t="str">
        <f t="shared" si="15"/>
        <v>June</v>
      </c>
      <c r="N374">
        <v>2025</v>
      </c>
      <c r="O374">
        <f t="shared" si="16"/>
        <v>2154.6</v>
      </c>
      <c r="P374">
        <f t="shared" si="17"/>
        <v>923.40000000000009</v>
      </c>
    </row>
    <row r="375" spans="1:16">
      <c r="A375">
        <v>374</v>
      </c>
      <c r="B375" t="s">
        <v>13</v>
      </c>
      <c r="C375" t="s">
        <v>213</v>
      </c>
      <c r="D375" t="s">
        <v>38</v>
      </c>
      <c r="E375" t="s">
        <v>43</v>
      </c>
      <c r="F375" t="s">
        <v>17</v>
      </c>
      <c r="G375">
        <v>991</v>
      </c>
      <c r="H375">
        <v>15</v>
      </c>
      <c r="I375">
        <v>14865</v>
      </c>
      <c r="J375">
        <v>4.5</v>
      </c>
      <c r="K375" t="s">
        <v>28</v>
      </c>
      <c r="L375">
        <v>4</v>
      </c>
      <c r="M375" t="str">
        <f t="shared" si="15"/>
        <v>April</v>
      </c>
      <c r="N375">
        <v>2025</v>
      </c>
      <c r="O375">
        <f t="shared" si="16"/>
        <v>10405.5</v>
      </c>
      <c r="P375">
        <f t="shared" si="17"/>
        <v>4459.5</v>
      </c>
    </row>
    <row r="376" spans="1:16">
      <c r="A376">
        <v>375</v>
      </c>
      <c r="B376" t="s">
        <v>40</v>
      </c>
      <c r="C376" t="s">
        <v>214</v>
      </c>
      <c r="D376" t="s">
        <v>42</v>
      </c>
      <c r="E376" t="s">
        <v>43</v>
      </c>
      <c r="F376" t="s">
        <v>27</v>
      </c>
      <c r="G376">
        <v>1372</v>
      </c>
      <c r="H376">
        <v>20</v>
      </c>
      <c r="I376">
        <v>27440</v>
      </c>
      <c r="J376">
        <v>4.5</v>
      </c>
      <c r="K376" t="s">
        <v>47</v>
      </c>
      <c r="L376">
        <v>12</v>
      </c>
      <c r="M376" t="str">
        <f t="shared" si="15"/>
        <v>December</v>
      </c>
      <c r="N376">
        <v>2025</v>
      </c>
      <c r="O376">
        <f t="shared" si="16"/>
        <v>19208</v>
      </c>
      <c r="P376">
        <f t="shared" si="17"/>
        <v>8232</v>
      </c>
    </row>
    <row r="377" spans="1:16">
      <c r="A377">
        <v>376</v>
      </c>
      <c r="B377" t="s">
        <v>24</v>
      </c>
      <c r="C377" t="s">
        <v>176</v>
      </c>
      <c r="D377" t="s">
        <v>76</v>
      </c>
      <c r="E377" t="s">
        <v>33</v>
      </c>
      <c r="F377" t="s">
        <v>22</v>
      </c>
      <c r="G377">
        <v>1423</v>
      </c>
      <c r="H377">
        <v>9</v>
      </c>
      <c r="I377">
        <v>12807</v>
      </c>
      <c r="J377">
        <v>4.3</v>
      </c>
      <c r="K377" t="s">
        <v>28</v>
      </c>
      <c r="L377">
        <v>9</v>
      </c>
      <c r="M377" t="str">
        <f t="shared" si="15"/>
        <v>September</v>
      </c>
      <c r="N377">
        <v>2025</v>
      </c>
      <c r="O377">
        <f t="shared" si="16"/>
        <v>8964.9</v>
      </c>
      <c r="P377">
        <f t="shared" si="17"/>
        <v>3842.1000000000004</v>
      </c>
    </row>
    <row r="378" spans="1:16">
      <c r="A378">
        <v>377</v>
      </c>
      <c r="B378" t="s">
        <v>36</v>
      </c>
      <c r="C378" t="s">
        <v>86</v>
      </c>
      <c r="D378" t="s">
        <v>21</v>
      </c>
      <c r="E378" t="s">
        <v>33</v>
      </c>
      <c r="F378" t="s">
        <v>22</v>
      </c>
      <c r="G378">
        <v>644</v>
      </c>
      <c r="H378">
        <v>19</v>
      </c>
      <c r="I378">
        <v>12236</v>
      </c>
      <c r="J378">
        <v>4.2</v>
      </c>
      <c r="K378" t="s">
        <v>47</v>
      </c>
      <c r="L378">
        <v>9</v>
      </c>
      <c r="M378" t="str">
        <f t="shared" si="15"/>
        <v>September</v>
      </c>
      <c r="N378">
        <v>2025</v>
      </c>
      <c r="O378">
        <f t="shared" si="16"/>
        <v>8565.1999999999989</v>
      </c>
      <c r="P378">
        <f t="shared" si="17"/>
        <v>3670.8000000000011</v>
      </c>
    </row>
    <row r="379" spans="1:16">
      <c r="A379">
        <v>378</v>
      </c>
      <c r="B379" t="s">
        <v>44</v>
      </c>
      <c r="C379" t="s">
        <v>215</v>
      </c>
      <c r="D379" t="s">
        <v>30</v>
      </c>
      <c r="E379" t="s">
        <v>43</v>
      </c>
      <c r="F379" t="s">
        <v>34</v>
      </c>
      <c r="G379">
        <v>1197</v>
      </c>
      <c r="H379">
        <v>5</v>
      </c>
      <c r="I379">
        <v>5985</v>
      </c>
      <c r="J379">
        <v>3.8</v>
      </c>
      <c r="K379" t="s">
        <v>47</v>
      </c>
      <c r="L379">
        <v>1</v>
      </c>
      <c r="M379" t="str">
        <f t="shared" si="15"/>
        <v>January</v>
      </c>
      <c r="N379">
        <v>2025</v>
      </c>
      <c r="O379">
        <f t="shared" si="16"/>
        <v>4189.5</v>
      </c>
      <c r="P379">
        <f t="shared" si="17"/>
        <v>1795.5</v>
      </c>
    </row>
    <row r="380" spans="1:16">
      <c r="A380">
        <v>379</v>
      </c>
      <c r="B380" t="s">
        <v>44</v>
      </c>
      <c r="C380" t="s">
        <v>123</v>
      </c>
      <c r="D380" t="s">
        <v>32</v>
      </c>
      <c r="E380" t="s">
        <v>43</v>
      </c>
      <c r="F380" t="s">
        <v>27</v>
      </c>
      <c r="G380">
        <v>1000</v>
      </c>
      <c r="H380">
        <v>6</v>
      </c>
      <c r="I380">
        <v>6000</v>
      </c>
      <c r="J380">
        <v>4.3</v>
      </c>
      <c r="K380" t="s">
        <v>23</v>
      </c>
      <c r="L380">
        <v>8</v>
      </c>
      <c r="M380" t="str">
        <f t="shared" si="15"/>
        <v>August</v>
      </c>
      <c r="N380">
        <v>2025</v>
      </c>
      <c r="O380">
        <f t="shared" si="16"/>
        <v>4200</v>
      </c>
      <c r="P380">
        <f t="shared" si="17"/>
        <v>1800</v>
      </c>
    </row>
    <row r="381" spans="1:16">
      <c r="A381">
        <v>380</v>
      </c>
      <c r="B381" t="s">
        <v>13</v>
      </c>
      <c r="C381" t="s">
        <v>216</v>
      </c>
      <c r="D381" t="s">
        <v>21</v>
      </c>
      <c r="E381" t="s">
        <v>16</v>
      </c>
      <c r="F381" t="s">
        <v>34</v>
      </c>
      <c r="G381">
        <v>490</v>
      </c>
      <c r="H381">
        <v>17</v>
      </c>
      <c r="I381">
        <v>8330</v>
      </c>
      <c r="J381">
        <v>3.8</v>
      </c>
      <c r="K381" t="s">
        <v>28</v>
      </c>
      <c r="L381">
        <v>7</v>
      </c>
      <c r="M381" t="str">
        <f t="shared" si="15"/>
        <v>July</v>
      </c>
      <c r="N381">
        <v>2025</v>
      </c>
      <c r="O381">
        <f t="shared" si="16"/>
        <v>5831</v>
      </c>
      <c r="P381">
        <f t="shared" si="17"/>
        <v>2499</v>
      </c>
    </row>
    <row r="382" spans="1:16">
      <c r="A382">
        <v>381</v>
      </c>
      <c r="B382" t="s">
        <v>13</v>
      </c>
      <c r="C382" t="s">
        <v>166</v>
      </c>
      <c r="D382" t="s">
        <v>38</v>
      </c>
      <c r="E382" t="s">
        <v>16</v>
      </c>
      <c r="F382" t="s">
        <v>22</v>
      </c>
      <c r="G382">
        <v>666</v>
      </c>
      <c r="H382">
        <v>3</v>
      </c>
      <c r="I382">
        <v>1998</v>
      </c>
      <c r="J382">
        <v>3</v>
      </c>
      <c r="K382" t="s">
        <v>47</v>
      </c>
      <c r="L382">
        <v>11</v>
      </c>
      <c r="M382" t="str">
        <f t="shared" si="15"/>
        <v>November</v>
      </c>
      <c r="N382">
        <v>2025</v>
      </c>
      <c r="O382">
        <f t="shared" si="16"/>
        <v>1398.6</v>
      </c>
      <c r="P382">
        <f t="shared" si="17"/>
        <v>599.40000000000009</v>
      </c>
    </row>
    <row r="383" spans="1:16">
      <c r="A383">
        <v>382</v>
      </c>
      <c r="B383" t="s">
        <v>44</v>
      </c>
      <c r="C383" t="s">
        <v>159</v>
      </c>
      <c r="D383" t="s">
        <v>26</v>
      </c>
      <c r="E383" t="s">
        <v>33</v>
      </c>
      <c r="F383" t="s">
        <v>17</v>
      </c>
      <c r="G383">
        <v>1123</v>
      </c>
      <c r="H383">
        <v>2</v>
      </c>
      <c r="I383">
        <v>2246</v>
      </c>
      <c r="J383">
        <v>3.2</v>
      </c>
      <c r="K383" t="s">
        <v>18</v>
      </c>
      <c r="L383">
        <v>9</v>
      </c>
      <c r="M383" t="str">
        <f t="shared" si="15"/>
        <v>September</v>
      </c>
      <c r="N383">
        <v>2025</v>
      </c>
      <c r="O383">
        <f t="shared" si="16"/>
        <v>1572.1999999999998</v>
      </c>
      <c r="P383">
        <f t="shared" si="17"/>
        <v>673.80000000000018</v>
      </c>
    </row>
    <row r="384" spans="1:16">
      <c r="A384">
        <v>383</v>
      </c>
      <c r="B384" t="s">
        <v>36</v>
      </c>
      <c r="C384" t="s">
        <v>188</v>
      </c>
      <c r="D384" t="s">
        <v>21</v>
      </c>
      <c r="E384" t="s">
        <v>43</v>
      </c>
      <c r="F384" t="s">
        <v>34</v>
      </c>
      <c r="G384">
        <v>1075</v>
      </c>
      <c r="H384">
        <v>16</v>
      </c>
      <c r="I384">
        <v>17200</v>
      </c>
      <c r="J384">
        <v>3.6</v>
      </c>
      <c r="K384" t="s">
        <v>35</v>
      </c>
      <c r="L384">
        <v>2</v>
      </c>
      <c r="M384" t="str">
        <f t="shared" si="15"/>
        <v>February</v>
      </c>
      <c r="N384">
        <v>2025</v>
      </c>
      <c r="O384">
        <f t="shared" si="16"/>
        <v>12040</v>
      </c>
      <c r="P384">
        <f t="shared" si="17"/>
        <v>5160</v>
      </c>
    </row>
    <row r="385" spans="1:16">
      <c r="A385">
        <v>384</v>
      </c>
      <c r="B385" t="s">
        <v>64</v>
      </c>
      <c r="C385" t="s">
        <v>165</v>
      </c>
      <c r="D385" t="s">
        <v>42</v>
      </c>
      <c r="E385" t="s">
        <v>50</v>
      </c>
      <c r="F385" t="s">
        <v>17</v>
      </c>
      <c r="G385">
        <v>1334</v>
      </c>
      <c r="H385">
        <v>10</v>
      </c>
      <c r="I385">
        <v>13340</v>
      </c>
      <c r="J385">
        <v>4.5</v>
      </c>
      <c r="K385" t="s">
        <v>18</v>
      </c>
      <c r="L385">
        <v>4</v>
      </c>
      <c r="M385" t="str">
        <f t="shared" si="15"/>
        <v>April</v>
      </c>
      <c r="N385">
        <v>2025</v>
      </c>
      <c r="O385">
        <f t="shared" si="16"/>
        <v>9338</v>
      </c>
      <c r="P385">
        <f t="shared" si="17"/>
        <v>4002</v>
      </c>
    </row>
    <row r="386" spans="1:16">
      <c r="A386">
        <v>385</v>
      </c>
      <c r="B386" t="s">
        <v>40</v>
      </c>
      <c r="C386" t="s">
        <v>164</v>
      </c>
      <c r="D386" t="s">
        <v>15</v>
      </c>
      <c r="E386" t="s">
        <v>43</v>
      </c>
      <c r="F386" t="s">
        <v>34</v>
      </c>
      <c r="G386">
        <v>384</v>
      </c>
      <c r="H386">
        <v>14</v>
      </c>
      <c r="I386">
        <v>5376</v>
      </c>
      <c r="J386">
        <v>4</v>
      </c>
      <c r="K386" t="s">
        <v>23</v>
      </c>
      <c r="L386">
        <v>2</v>
      </c>
      <c r="M386" t="str">
        <f t="shared" si="15"/>
        <v>February</v>
      </c>
      <c r="N386">
        <v>2025</v>
      </c>
      <c r="O386">
        <f t="shared" si="16"/>
        <v>3763.2</v>
      </c>
      <c r="P386">
        <f t="shared" si="17"/>
        <v>1612.8000000000002</v>
      </c>
    </row>
    <row r="387" spans="1:16">
      <c r="A387">
        <v>386</v>
      </c>
      <c r="B387" t="s">
        <v>19</v>
      </c>
      <c r="C387" t="s">
        <v>175</v>
      </c>
      <c r="D387" t="s">
        <v>32</v>
      </c>
      <c r="E387" t="s">
        <v>33</v>
      </c>
      <c r="F387" t="s">
        <v>34</v>
      </c>
      <c r="G387">
        <v>1280</v>
      </c>
      <c r="H387">
        <v>1</v>
      </c>
      <c r="I387">
        <v>1280</v>
      </c>
      <c r="J387">
        <v>3.5</v>
      </c>
      <c r="K387" t="s">
        <v>18</v>
      </c>
      <c r="L387">
        <v>10</v>
      </c>
      <c r="M387" t="str">
        <f t="shared" ref="M387:M450" si="18">TEXT(DATE(2025, L387, 1), "mmmm")</f>
        <v>October</v>
      </c>
      <c r="N387">
        <v>2025</v>
      </c>
      <c r="O387">
        <f t="shared" ref="O387:O450" si="19">I387*0.7</f>
        <v>896</v>
      </c>
      <c r="P387">
        <f t="shared" ref="P387:P450" si="20">I387-O387</f>
        <v>384</v>
      </c>
    </row>
    <row r="388" spans="1:16">
      <c r="A388">
        <v>387</v>
      </c>
      <c r="B388" t="s">
        <v>36</v>
      </c>
      <c r="C388" t="s">
        <v>217</v>
      </c>
      <c r="D388" t="s">
        <v>26</v>
      </c>
      <c r="E388" t="s">
        <v>43</v>
      </c>
      <c r="F388" t="s">
        <v>34</v>
      </c>
      <c r="G388">
        <v>532</v>
      </c>
      <c r="H388">
        <v>3</v>
      </c>
      <c r="I388">
        <v>1596</v>
      </c>
      <c r="J388">
        <v>4.8</v>
      </c>
      <c r="K388" t="s">
        <v>47</v>
      </c>
      <c r="L388">
        <v>1</v>
      </c>
      <c r="M388" t="str">
        <f t="shared" si="18"/>
        <v>January</v>
      </c>
      <c r="N388">
        <v>2025</v>
      </c>
      <c r="O388">
        <f t="shared" si="19"/>
        <v>1117.1999999999998</v>
      </c>
      <c r="P388">
        <f t="shared" si="20"/>
        <v>478.80000000000018</v>
      </c>
    </row>
    <row r="389" spans="1:16">
      <c r="A389">
        <v>388</v>
      </c>
      <c r="B389" t="s">
        <v>40</v>
      </c>
      <c r="C389" t="s">
        <v>74</v>
      </c>
      <c r="D389" t="s">
        <v>57</v>
      </c>
      <c r="E389" t="s">
        <v>43</v>
      </c>
      <c r="F389" t="s">
        <v>22</v>
      </c>
      <c r="G389">
        <v>789</v>
      </c>
      <c r="H389">
        <v>6</v>
      </c>
      <c r="I389">
        <v>4734</v>
      </c>
      <c r="J389">
        <v>4</v>
      </c>
      <c r="K389" t="s">
        <v>18</v>
      </c>
      <c r="L389">
        <v>7</v>
      </c>
      <c r="M389" t="str">
        <f t="shared" si="18"/>
        <v>July</v>
      </c>
      <c r="N389">
        <v>2025</v>
      </c>
      <c r="O389">
        <f t="shared" si="19"/>
        <v>3313.7999999999997</v>
      </c>
      <c r="P389">
        <f t="shared" si="20"/>
        <v>1420.2000000000003</v>
      </c>
    </row>
    <row r="390" spans="1:16">
      <c r="A390">
        <v>389</v>
      </c>
      <c r="B390" t="s">
        <v>58</v>
      </c>
      <c r="C390" t="s">
        <v>198</v>
      </c>
      <c r="D390" t="s">
        <v>30</v>
      </c>
      <c r="E390" t="s">
        <v>50</v>
      </c>
      <c r="F390" t="s">
        <v>22</v>
      </c>
      <c r="G390">
        <v>1259</v>
      </c>
      <c r="H390">
        <v>19</v>
      </c>
      <c r="I390">
        <v>23921</v>
      </c>
      <c r="J390">
        <v>3.9</v>
      </c>
      <c r="K390" t="s">
        <v>35</v>
      </c>
      <c r="L390">
        <v>11</v>
      </c>
      <c r="M390" t="str">
        <f t="shared" si="18"/>
        <v>November</v>
      </c>
      <c r="N390">
        <v>2025</v>
      </c>
      <c r="O390">
        <f t="shared" si="19"/>
        <v>16744.7</v>
      </c>
      <c r="P390">
        <f t="shared" si="20"/>
        <v>7176.2999999999993</v>
      </c>
    </row>
    <row r="391" spans="1:16">
      <c r="A391">
        <v>390</v>
      </c>
      <c r="B391" t="s">
        <v>44</v>
      </c>
      <c r="C391" t="s">
        <v>149</v>
      </c>
      <c r="D391" t="s">
        <v>21</v>
      </c>
      <c r="E391" t="s">
        <v>43</v>
      </c>
      <c r="F391" t="s">
        <v>39</v>
      </c>
      <c r="G391">
        <v>1347</v>
      </c>
      <c r="H391">
        <v>14</v>
      </c>
      <c r="I391">
        <v>18858</v>
      </c>
      <c r="J391">
        <v>4.3</v>
      </c>
      <c r="K391" t="s">
        <v>23</v>
      </c>
      <c r="L391">
        <v>3</v>
      </c>
      <c r="M391" t="str">
        <f t="shared" si="18"/>
        <v>March</v>
      </c>
      <c r="N391">
        <v>2025</v>
      </c>
      <c r="O391">
        <f t="shared" si="19"/>
        <v>13200.599999999999</v>
      </c>
      <c r="P391">
        <f t="shared" si="20"/>
        <v>5657.4000000000015</v>
      </c>
    </row>
    <row r="392" spans="1:16">
      <c r="A392">
        <v>391</v>
      </c>
      <c r="B392" t="s">
        <v>19</v>
      </c>
      <c r="C392" t="s">
        <v>218</v>
      </c>
      <c r="D392" t="s">
        <v>32</v>
      </c>
      <c r="E392" t="s">
        <v>50</v>
      </c>
      <c r="F392" t="s">
        <v>17</v>
      </c>
      <c r="G392">
        <v>746</v>
      </c>
      <c r="H392">
        <v>19</v>
      </c>
      <c r="I392">
        <v>14174</v>
      </c>
      <c r="J392">
        <v>4.7</v>
      </c>
      <c r="K392" t="s">
        <v>28</v>
      </c>
      <c r="L392">
        <v>11</v>
      </c>
      <c r="M392" t="str">
        <f t="shared" si="18"/>
        <v>November</v>
      </c>
      <c r="N392">
        <v>2025</v>
      </c>
      <c r="O392">
        <f t="shared" si="19"/>
        <v>9921.7999999999993</v>
      </c>
      <c r="P392">
        <f t="shared" si="20"/>
        <v>4252.2000000000007</v>
      </c>
    </row>
    <row r="393" spans="1:16">
      <c r="A393">
        <v>392</v>
      </c>
      <c r="B393" t="s">
        <v>44</v>
      </c>
      <c r="C393" t="s">
        <v>212</v>
      </c>
      <c r="D393" t="s">
        <v>15</v>
      </c>
      <c r="E393" t="s">
        <v>33</v>
      </c>
      <c r="F393" t="s">
        <v>17</v>
      </c>
      <c r="G393">
        <v>1000</v>
      </c>
      <c r="H393">
        <v>9</v>
      </c>
      <c r="I393">
        <v>9000</v>
      </c>
      <c r="J393">
        <v>4.7</v>
      </c>
      <c r="K393" t="s">
        <v>35</v>
      </c>
      <c r="L393">
        <v>8</v>
      </c>
      <c r="M393" t="str">
        <f t="shared" si="18"/>
        <v>August</v>
      </c>
      <c r="N393">
        <v>2025</v>
      </c>
      <c r="O393">
        <f t="shared" si="19"/>
        <v>6300</v>
      </c>
      <c r="P393">
        <f t="shared" si="20"/>
        <v>2700</v>
      </c>
    </row>
    <row r="394" spans="1:16">
      <c r="A394">
        <v>393</v>
      </c>
      <c r="B394" t="s">
        <v>24</v>
      </c>
      <c r="C394" t="s">
        <v>134</v>
      </c>
      <c r="D394" t="s">
        <v>76</v>
      </c>
      <c r="E394" t="s">
        <v>43</v>
      </c>
      <c r="F394" t="s">
        <v>22</v>
      </c>
      <c r="G394">
        <v>507</v>
      </c>
      <c r="H394">
        <v>4</v>
      </c>
      <c r="I394">
        <v>2028</v>
      </c>
      <c r="J394">
        <v>4.2</v>
      </c>
      <c r="K394" t="s">
        <v>35</v>
      </c>
      <c r="L394">
        <v>11</v>
      </c>
      <c r="M394" t="str">
        <f t="shared" si="18"/>
        <v>November</v>
      </c>
      <c r="N394">
        <v>2025</v>
      </c>
      <c r="O394">
        <f t="shared" si="19"/>
        <v>1419.6</v>
      </c>
      <c r="P394">
        <f t="shared" si="20"/>
        <v>608.40000000000009</v>
      </c>
    </row>
    <row r="395" spans="1:16">
      <c r="A395">
        <v>394</v>
      </c>
      <c r="B395" t="s">
        <v>24</v>
      </c>
      <c r="C395" t="s">
        <v>179</v>
      </c>
      <c r="D395" t="s">
        <v>32</v>
      </c>
      <c r="E395" t="s">
        <v>33</v>
      </c>
      <c r="F395" t="s">
        <v>22</v>
      </c>
      <c r="G395">
        <v>1273</v>
      </c>
      <c r="H395">
        <v>20</v>
      </c>
      <c r="I395">
        <v>25460</v>
      </c>
      <c r="J395">
        <v>3</v>
      </c>
      <c r="K395" t="s">
        <v>47</v>
      </c>
      <c r="L395">
        <v>3</v>
      </c>
      <c r="M395" t="str">
        <f t="shared" si="18"/>
        <v>March</v>
      </c>
      <c r="N395">
        <v>2025</v>
      </c>
      <c r="O395">
        <f t="shared" si="19"/>
        <v>17822</v>
      </c>
      <c r="P395">
        <f t="shared" si="20"/>
        <v>7638</v>
      </c>
    </row>
    <row r="396" spans="1:16">
      <c r="A396">
        <v>395</v>
      </c>
      <c r="B396" t="s">
        <v>44</v>
      </c>
      <c r="C396" t="s">
        <v>149</v>
      </c>
      <c r="D396" t="s">
        <v>57</v>
      </c>
      <c r="E396" t="s">
        <v>43</v>
      </c>
      <c r="F396" t="s">
        <v>22</v>
      </c>
      <c r="G396">
        <v>595</v>
      </c>
      <c r="H396">
        <v>1</v>
      </c>
      <c r="I396">
        <v>595</v>
      </c>
      <c r="J396">
        <v>4.8</v>
      </c>
      <c r="K396" t="s">
        <v>18</v>
      </c>
      <c r="L396">
        <v>7</v>
      </c>
      <c r="M396" t="str">
        <f t="shared" si="18"/>
        <v>July</v>
      </c>
      <c r="N396">
        <v>2025</v>
      </c>
      <c r="O396">
        <f t="shared" si="19"/>
        <v>416.5</v>
      </c>
      <c r="P396">
        <f t="shared" si="20"/>
        <v>178.5</v>
      </c>
    </row>
    <row r="397" spans="1:16">
      <c r="A397">
        <v>396</v>
      </c>
      <c r="B397" t="s">
        <v>19</v>
      </c>
      <c r="C397" t="s">
        <v>175</v>
      </c>
      <c r="D397" t="s">
        <v>42</v>
      </c>
      <c r="E397" t="s">
        <v>16</v>
      </c>
      <c r="F397" t="s">
        <v>17</v>
      </c>
      <c r="G397">
        <v>557</v>
      </c>
      <c r="H397">
        <v>6</v>
      </c>
      <c r="I397">
        <v>3342</v>
      </c>
      <c r="J397">
        <v>3.2</v>
      </c>
      <c r="K397" t="s">
        <v>18</v>
      </c>
      <c r="L397">
        <v>11</v>
      </c>
      <c r="M397" t="str">
        <f t="shared" si="18"/>
        <v>November</v>
      </c>
      <c r="N397">
        <v>2025</v>
      </c>
      <c r="O397">
        <f t="shared" si="19"/>
        <v>2339.3999999999996</v>
      </c>
      <c r="P397">
        <f t="shared" si="20"/>
        <v>1002.6000000000004</v>
      </c>
    </row>
    <row r="398" spans="1:16">
      <c r="A398">
        <v>397</v>
      </c>
      <c r="B398" t="s">
        <v>36</v>
      </c>
      <c r="C398" t="s">
        <v>219</v>
      </c>
      <c r="D398" t="s">
        <v>15</v>
      </c>
      <c r="E398" t="s">
        <v>50</v>
      </c>
      <c r="F398" t="s">
        <v>27</v>
      </c>
      <c r="G398">
        <v>1449</v>
      </c>
      <c r="H398">
        <v>9</v>
      </c>
      <c r="I398">
        <v>13041</v>
      </c>
      <c r="J398">
        <v>3.8</v>
      </c>
      <c r="K398" t="s">
        <v>18</v>
      </c>
      <c r="L398">
        <v>7</v>
      </c>
      <c r="M398" t="str">
        <f t="shared" si="18"/>
        <v>July</v>
      </c>
      <c r="N398">
        <v>2025</v>
      </c>
      <c r="O398">
        <f t="shared" si="19"/>
        <v>9128.6999999999989</v>
      </c>
      <c r="P398">
        <f t="shared" si="20"/>
        <v>3912.3000000000011</v>
      </c>
    </row>
    <row r="399" spans="1:16">
      <c r="A399">
        <v>398</v>
      </c>
      <c r="B399" t="s">
        <v>36</v>
      </c>
      <c r="C399" t="s">
        <v>82</v>
      </c>
      <c r="D399" t="s">
        <v>32</v>
      </c>
      <c r="E399" t="s">
        <v>43</v>
      </c>
      <c r="F399" t="s">
        <v>22</v>
      </c>
      <c r="G399">
        <v>1148</v>
      </c>
      <c r="H399">
        <v>18</v>
      </c>
      <c r="I399">
        <v>20664</v>
      </c>
      <c r="J399">
        <v>4.9000000000000004</v>
      </c>
      <c r="K399" t="s">
        <v>23</v>
      </c>
      <c r="L399">
        <v>3</v>
      </c>
      <c r="M399" t="str">
        <f t="shared" si="18"/>
        <v>March</v>
      </c>
      <c r="N399">
        <v>2025</v>
      </c>
      <c r="O399">
        <f t="shared" si="19"/>
        <v>14464.8</v>
      </c>
      <c r="P399">
        <f t="shared" si="20"/>
        <v>6199.2000000000007</v>
      </c>
    </row>
    <row r="400" spans="1:16">
      <c r="A400">
        <v>399</v>
      </c>
      <c r="B400" t="s">
        <v>13</v>
      </c>
      <c r="C400" t="s">
        <v>220</v>
      </c>
      <c r="D400" t="s">
        <v>21</v>
      </c>
      <c r="E400" t="s">
        <v>43</v>
      </c>
      <c r="F400" t="s">
        <v>39</v>
      </c>
      <c r="G400">
        <v>764</v>
      </c>
      <c r="H400">
        <v>16</v>
      </c>
      <c r="I400">
        <v>12224</v>
      </c>
      <c r="J400">
        <v>4</v>
      </c>
      <c r="K400" t="s">
        <v>18</v>
      </c>
      <c r="L400">
        <v>8</v>
      </c>
      <c r="M400" t="str">
        <f t="shared" si="18"/>
        <v>August</v>
      </c>
      <c r="N400">
        <v>2025</v>
      </c>
      <c r="O400">
        <f t="shared" si="19"/>
        <v>8556.7999999999993</v>
      </c>
      <c r="P400">
        <f t="shared" si="20"/>
        <v>3667.2000000000007</v>
      </c>
    </row>
    <row r="401" spans="1:16">
      <c r="A401">
        <v>400</v>
      </c>
      <c r="B401" t="s">
        <v>64</v>
      </c>
      <c r="C401" t="s">
        <v>91</v>
      </c>
      <c r="D401" t="s">
        <v>76</v>
      </c>
      <c r="E401" t="s">
        <v>50</v>
      </c>
      <c r="F401" t="s">
        <v>34</v>
      </c>
      <c r="G401">
        <v>874</v>
      </c>
      <c r="H401">
        <v>2</v>
      </c>
      <c r="I401">
        <v>1748</v>
      </c>
      <c r="J401">
        <v>4.0999999999999996</v>
      </c>
      <c r="K401" t="s">
        <v>23</v>
      </c>
      <c r="L401">
        <v>7</v>
      </c>
      <c r="M401" t="str">
        <f t="shared" si="18"/>
        <v>July</v>
      </c>
      <c r="N401">
        <v>2025</v>
      </c>
      <c r="O401">
        <f t="shared" si="19"/>
        <v>1223.5999999999999</v>
      </c>
      <c r="P401">
        <f t="shared" si="20"/>
        <v>524.40000000000009</v>
      </c>
    </row>
    <row r="402" spans="1:16">
      <c r="A402">
        <v>401</v>
      </c>
      <c r="B402" t="s">
        <v>64</v>
      </c>
      <c r="C402" t="s">
        <v>173</v>
      </c>
      <c r="D402" t="s">
        <v>60</v>
      </c>
      <c r="E402" t="s">
        <v>50</v>
      </c>
      <c r="F402" t="s">
        <v>63</v>
      </c>
      <c r="G402">
        <v>1481</v>
      </c>
      <c r="H402">
        <v>9</v>
      </c>
      <c r="I402">
        <v>13329</v>
      </c>
      <c r="J402">
        <v>3.5</v>
      </c>
      <c r="K402" t="s">
        <v>28</v>
      </c>
      <c r="L402">
        <v>7</v>
      </c>
      <c r="M402" t="str">
        <f t="shared" si="18"/>
        <v>July</v>
      </c>
      <c r="N402">
        <v>2025</v>
      </c>
      <c r="O402">
        <f t="shared" si="19"/>
        <v>9330.2999999999993</v>
      </c>
      <c r="P402">
        <f t="shared" si="20"/>
        <v>3998.7000000000007</v>
      </c>
    </row>
    <row r="403" spans="1:16">
      <c r="A403">
        <v>402</v>
      </c>
      <c r="B403" t="s">
        <v>58</v>
      </c>
      <c r="C403" t="s">
        <v>117</v>
      </c>
      <c r="D403" t="s">
        <v>15</v>
      </c>
      <c r="E403" t="s">
        <v>50</v>
      </c>
      <c r="F403" t="s">
        <v>17</v>
      </c>
      <c r="G403">
        <v>569</v>
      </c>
      <c r="H403">
        <v>9</v>
      </c>
      <c r="I403">
        <v>5121</v>
      </c>
      <c r="J403">
        <v>4.5</v>
      </c>
      <c r="K403" t="s">
        <v>23</v>
      </c>
      <c r="L403">
        <v>7</v>
      </c>
      <c r="M403" t="str">
        <f t="shared" si="18"/>
        <v>July</v>
      </c>
      <c r="N403">
        <v>2025</v>
      </c>
      <c r="O403">
        <f t="shared" si="19"/>
        <v>3584.7</v>
      </c>
      <c r="P403">
        <f t="shared" si="20"/>
        <v>1536.3000000000002</v>
      </c>
    </row>
    <row r="404" spans="1:16">
      <c r="A404">
        <v>403</v>
      </c>
      <c r="B404" t="s">
        <v>64</v>
      </c>
      <c r="C404" t="s">
        <v>155</v>
      </c>
      <c r="D404" t="s">
        <v>76</v>
      </c>
      <c r="E404" t="s">
        <v>50</v>
      </c>
      <c r="F404" t="s">
        <v>34</v>
      </c>
      <c r="G404">
        <v>529</v>
      </c>
      <c r="H404">
        <v>18</v>
      </c>
      <c r="I404">
        <v>9522</v>
      </c>
      <c r="J404">
        <v>3.2</v>
      </c>
      <c r="K404" t="s">
        <v>28</v>
      </c>
      <c r="L404">
        <v>1</v>
      </c>
      <c r="M404" t="str">
        <f t="shared" si="18"/>
        <v>January</v>
      </c>
      <c r="N404">
        <v>2025</v>
      </c>
      <c r="O404">
        <f t="shared" si="19"/>
        <v>6665.4</v>
      </c>
      <c r="P404">
        <f t="shared" si="20"/>
        <v>2856.6000000000004</v>
      </c>
    </row>
    <row r="405" spans="1:16">
      <c r="A405">
        <v>404</v>
      </c>
      <c r="B405" t="s">
        <v>69</v>
      </c>
      <c r="C405" t="s">
        <v>83</v>
      </c>
      <c r="D405" t="s">
        <v>32</v>
      </c>
      <c r="E405" t="s">
        <v>16</v>
      </c>
      <c r="F405" t="s">
        <v>34</v>
      </c>
      <c r="G405">
        <v>455</v>
      </c>
      <c r="H405">
        <v>10</v>
      </c>
      <c r="I405">
        <v>4550</v>
      </c>
      <c r="J405">
        <v>4</v>
      </c>
      <c r="K405" t="s">
        <v>35</v>
      </c>
      <c r="L405">
        <v>11</v>
      </c>
      <c r="M405" t="str">
        <f t="shared" si="18"/>
        <v>November</v>
      </c>
      <c r="N405">
        <v>2025</v>
      </c>
      <c r="O405">
        <f t="shared" si="19"/>
        <v>3185</v>
      </c>
      <c r="P405">
        <f t="shared" si="20"/>
        <v>1365</v>
      </c>
    </row>
    <row r="406" spans="1:16">
      <c r="A406">
        <v>405</v>
      </c>
      <c r="B406" t="s">
        <v>13</v>
      </c>
      <c r="C406" t="s">
        <v>48</v>
      </c>
      <c r="D406" t="s">
        <v>26</v>
      </c>
      <c r="E406" t="s">
        <v>33</v>
      </c>
      <c r="F406" t="s">
        <v>39</v>
      </c>
      <c r="G406">
        <v>547</v>
      </c>
      <c r="H406">
        <v>4</v>
      </c>
      <c r="I406">
        <v>2188</v>
      </c>
      <c r="J406">
        <v>4.3</v>
      </c>
      <c r="K406" t="s">
        <v>23</v>
      </c>
      <c r="L406">
        <v>7</v>
      </c>
      <c r="M406" t="str">
        <f t="shared" si="18"/>
        <v>July</v>
      </c>
      <c r="N406">
        <v>2025</v>
      </c>
      <c r="O406">
        <f t="shared" si="19"/>
        <v>1531.6</v>
      </c>
      <c r="P406">
        <f t="shared" si="20"/>
        <v>656.40000000000009</v>
      </c>
    </row>
    <row r="407" spans="1:16">
      <c r="A407">
        <v>406</v>
      </c>
      <c r="B407" t="s">
        <v>19</v>
      </c>
      <c r="C407" t="s">
        <v>156</v>
      </c>
      <c r="D407" t="s">
        <v>76</v>
      </c>
      <c r="E407" t="s">
        <v>16</v>
      </c>
      <c r="F407" t="s">
        <v>34</v>
      </c>
      <c r="G407">
        <v>820</v>
      </c>
      <c r="H407">
        <v>1</v>
      </c>
      <c r="I407">
        <v>820</v>
      </c>
      <c r="J407">
        <v>4.4000000000000004</v>
      </c>
      <c r="K407" t="s">
        <v>47</v>
      </c>
      <c r="L407">
        <v>10</v>
      </c>
      <c r="M407" t="str">
        <f t="shared" si="18"/>
        <v>October</v>
      </c>
      <c r="N407">
        <v>2025</v>
      </c>
      <c r="O407">
        <f t="shared" si="19"/>
        <v>574</v>
      </c>
      <c r="P407">
        <f t="shared" si="20"/>
        <v>246</v>
      </c>
    </row>
    <row r="408" spans="1:16">
      <c r="A408">
        <v>407</v>
      </c>
      <c r="B408" t="s">
        <v>13</v>
      </c>
      <c r="C408" t="s">
        <v>107</v>
      </c>
      <c r="D408" t="s">
        <v>26</v>
      </c>
      <c r="E408" t="s">
        <v>50</v>
      </c>
      <c r="F408" t="s">
        <v>34</v>
      </c>
      <c r="G408">
        <v>328</v>
      </c>
      <c r="H408">
        <v>10</v>
      </c>
      <c r="I408">
        <v>3280</v>
      </c>
      <c r="J408">
        <v>3.8</v>
      </c>
      <c r="K408" t="s">
        <v>23</v>
      </c>
      <c r="L408">
        <v>12</v>
      </c>
      <c r="M408" t="str">
        <f t="shared" si="18"/>
        <v>December</v>
      </c>
      <c r="N408">
        <v>2025</v>
      </c>
      <c r="O408">
        <f t="shared" si="19"/>
        <v>2296</v>
      </c>
      <c r="P408">
        <f t="shared" si="20"/>
        <v>984</v>
      </c>
    </row>
    <row r="409" spans="1:16">
      <c r="A409">
        <v>408</v>
      </c>
      <c r="B409" t="s">
        <v>40</v>
      </c>
      <c r="C409" t="s">
        <v>164</v>
      </c>
      <c r="D409" t="s">
        <v>15</v>
      </c>
      <c r="E409" t="s">
        <v>33</v>
      </c>
      <c r="F409" t="s">
        <v>22</v>
      </c>
      <c r="G409">
        <v>713</v>
      </c>
      <c r="H409">
        <v>15</v>
      </c>
      <c r="I409">
        <v>10695</v>
      </c>
      <c r="J409">
        <v>4.8</v>
      </c>
      <c r="K409" t="s">
        <v>23</v>
      </c>
      <c r="L409">
        <v>2</v>
      </c>
      <c r="M409" t="str">
        <f t="shared" si="18"/>
        <v>February</v>
      </c>
      <c r="N409">
        <v>2025</v>
      </c>
      <c r="O409">
        <f t="shared" si="19"/>
        <v>7486.4999999999991</v>
      </c>
      <c r="P409">
        <f t="shared" si="20"/>
        <v>3208.5000000000009</v>
      </c>
    </row>
    <row r="410" spans="1:16">
      <c r="A410">
        <v>409</v>
      </c>
      <c r="B410" t="s">
        <v>69</v>
      </c>
      <c r="C410" t="s">
        <v>131</v>
      </c>
      <c r="D410" t="s">
        <v>26</v>
      </c>
      <c r="E410" t="s">
        <v>50</v>
      </c>
      <c r="F410" t="s">
        <v>63</v>
      </c>
      <c r="G410">
        <v>1307</v>
      </c>
      <c r="H410">
        <v>16</v>
      </c>
      <c r="I410">
        <v>20912</v>
      </c>
      <c r="J410">
        <v>4.5999999999999996</v>
      </c>
      <c r="K410" t="s">
        <v>28</v>
      </c>
      <c r="L410">
        <v>11</v>
      </c>
      <c r="M410" t="str">
        <f t="shared" si="18"/>
        <v>November</v>
      </c>
      <c r="N410">
        <v>2025</v>
      </c>
      <c r="O410">
        <f t="shared" si="19"/>
        <v>14638.4</v>
      </c>
      <c r="P410">
        <f t="shared" si="20"/>
        <v>6273.6</v>
      </c>
    </row>
    <row r="411" spans="1:16">
      <c r="A411">
        <v>410</v>
      </c>
      <c r="B411" t="s">
        <v>13</v>
      </c>
      <c r="C411" t="s">
        <v>75</v>
      </c>
      <c r="D411" t="s">
        <v>15</v>
      </c>
      <c r="E411" t="s">
        <v>33</v>
      </c>
      <c r="F411" t="s">
        <v>39</v>
      </c>
      <c r="G411">
        <v>1227</v>
      </c>
      <c r="H411">
        <v>6</v>
      </c>
      <c r="I411">
        <v>7362</v>
      </c>
      <c r="J411">
        <v>3.5</v>
      </c>
      <c r="K411" t="s">
        <v>28</v>
      </c>
      <c r="L411">
        <v>8</v>
      </c>
      <c r="M411" t="str">
        <f t="shared" si="18"/>
        <v>August</v>
      </c>
      <c r="N411">
        <v>2025</v>
      </c>
      <c r="O411">
        <f t="shared" si="19"/>
        <v>5153.3999999999996</v>
      </c>
      <c r="P411">
        <f t="shared" si="20"/>
        <v>2208.6000000000004</v>
      </c>
    </row>
    <row r="412" spans="1:16">
      <c r="A412">
        <v>411</v>
      </c>
      <c r="B412" t="s">
        <v>36</v>
      </c>
      <c r="C412" t="s">
        <v>139</v>
      </c>
      <c r="D412" t="s">
        <v>15</v>
      </c>
      <c r="E412" t="s">
        <v>50</v>
      </c>
      <c r="F412" t="s">
        <v>17</v>
      </c>
      <c r="G412">
        <v>648</v>
      </c>
      <c r="H412">
        <v>19</v>
      </c>
      <c r="I412">
        <v>12312</v>
      </c>
      <c r="J412">
        <v>4.4000000000000004</v>
      </c>
      <c r="K412" t="s">
        <v>28</v>
      </c>
      <c r="L412">
        <v>4</v>
      </c>
      <c r="M412" t="str">
        <f t="shared" si="18"/>
        <v>April</v>
      </c>
      <c r="N412">
        <v>2025</v>
      </c>
      <c r="O412">
        <f t="shared" si="19"/>
        <v>8618.4</v>
      </c>
      <c r="P412">
        <f t="shared" si="20"/>
        <v>3693.6000000000004</v>
      </c>
    </row>
    <row r="413" spans="1:16">
      <c r="A413">
        <v>412</v>
      </c>
      <c r="B413" t="s">
        <v>24</v>
      </c>
      <c r="C413" t="s">
        <v>109</v>
      </c>
      <c r="D413" t="s">
        <v>15</v>
      </c>
      <c r="E413" t="s">
        <v>33</v>
      </c>
      <c r="F413" t="s">
        <v>17</v>
      </c>
      <c r="G413">
        <v>574</v>
      </c>
      <c r="H413">
        <v>5</v>
      </c>
      <c r="I413">
        <v>2870</v>
      </c>
      <c r="J413">
        <v>4.8</v>
      </c>
      <c r="K413" t="s">
        <v>23</v>
      </c>
      <c r="L413">
        <v>9</v>
      </c>
      <c r="M413" t="str">
        <f t="shared" si="18"/>
        <v>September</v>
      </c>
      <c r="N413">
        <v>2025</v>
      </c>
      <c r="O413">
        <f t="shared" si="19"/>
        <v>2008.9999999999998</v>
      </c>
      <c r="P413">
        <f t="shared" si="20"/>
        <v>861.00000000000023</v>
      </c>
    </row>
    <row r="414" spans="1:16">
      <c r="A414">
        <v>413</v>
      </c>
      <c r="B414" t="s">
        <v>64</v>
      </c>
      <c r="C414" t="s">
        <v>171</v>
      </c>
      <c r="D414" t="s">
        <v>26</v>
      </c>
      <c r="E414" t="s">
        <v>33</v>
      </c>
      <c r="F414" t="s">
        <v>17</v>
      </c>
      <c r="G414">
        <v>672</v>
      </c>
      <c r="H414">
        <v>11</v>
      </c>
      <c r="I414">
        <v>7392</v>
      </c>
      <c r="J414">
        <v>4.9000000000000004</v>
      </c>
      <c r="K414" t="s">
        <v>35</v>
      </c>
      <c r="L414">
        <v>6</v>
      </c>
      <c r="M414" t="str">
        <f t="shared" si="18"/>
        <v>June</v>
      </c>
      <c r="N414">
        <v>2025</v>
      </c>
      <c r="O414">
        <f t="shared" si="19"/>
        <v>5174.3999999999996</v>
      </c>
      <c r="P414">
        <f t="shared" si="20"/>
        <v>2217.6000000000004</v>
      </c>
    </row>
    <row r="415" spans="1:16">
      <c r="A415">
        <v>414</v>
      </c>
      <c r="B415" t="s">
        <v>24</v>
      </c>
      <c r="C415" t="s">
        <v>221</v>
      </c>
      <c r="D415" t="s">
        <v>21</v>
      </c>
      <c r="E415" t="s">
        <v>50</v>
      </c>
      <c r="F415" t="s">
        <v>39</v>
      </c>
      <c r="G415">
        <v>572</v>
      </c>
      <c r="H415">
        <v>3</v>
      </c>
      <c r="I415">
        <v>1716</v>
      </c>
      <c r="J415">
        <v>4</v>
      </c>
      <c r="K415" t="s">
        <v>47</v>
      </c>
      <c r="L415">
        <v>11</v>
      </c>
      <c r="M415" t="str">
        <f t="shared" si="18"/>
        <v>November</v>
      </c>
      <c r="N415">
        <v>2025</v>
      </c>
      <c r="O415">
        <f t="shared" si="19"/>
        <v>1201.1999999999998</v>
      </c>
      <c r="P415">
        <f t="shared" si="20"/>
        <v>514.80000000000018</v>
      </c>
    </row>
    <row r="416" spans="1:16">
      <c r="A416">
        <v>415</v>
      </c>
      <c r="B416" t="s">
        <v>44</v>
      </c>
      <c r="C416" t="s">
        <v>101</v>
      </c>
      <c r="D416" t="s">
        <v>76</v>
      </c>
      <c r="E416" t="s">
        <v>50</v>
      </c>
      <c r="F416" t="s">
        <v>27</v>
      </c>
      <c r="G416">
        <v>852</v>
      </c>
      <c r="H416">
        <v>7</v>
      </c>
      <c r="I416">
        <v>5964</v>
      </c>
      <c r="J416">
        <v>5</v>
      </c>
      <c r="K416" t="s">
        <v>35</v>
      </c>
      <c r="L416">
        <v>6</v>
      </c>
      <c r="M416" t="str">
        <f t="shared" si="18"/>
        <v>June</v>
      </c>
      <c r="N416">
        <v>2025</v>
      </c>
      <c r="O416">
        <f t="shared" si="19"/>
        <v>4174.8</v>
      </c>
      <c r="P416">
        <f t="shared" si="20"/>
        <v>1789.1999999999998</v>
      </c>
    </row>
    <row r="417" spans="1:16">
      <c r="A417">
        <v>416</v>
      </c>
      <c r="B417" t="s">
        <v>64</v>
      </c>
      <c r="C417" t="s">
        <v>147</v>
      </c>
      <c r="D417" t="s">
        <v>32</v>
      </c>
      <c r="E417" t="s">
        <v>33</v>
      </c>
      <c r="F417" t="s">
        <v>34</v>
      </c>
      <c r="G417">
        <v>1117</v>
      </c>
      <c r="H417">
        <v>18</v>
      </c>
      <c r="I417">
        <v>20106</v>
      </c>
      <c r="J417">
        <v>4.4000000000000004</v>
      </c>
      <c r="K417" t="s">
        <v>35</v>
      </c>
      <c r="L417">
        <v>12</v>
      </c>
      <c r="M417" t="str">
        <f t="shared" si="18"/>
        <v>December</v>
      </c>
      <c r="N417">
        <v>2025</v>
      </c>
      <c r="O417">
        <f t="shared" si="19"/>
        <v>14074.199999999999</v>
      </c>
      <c r="P417">
        <f t="shared" si="20"/>
        <v>6031.8000000000011</v>
      </c>
    </row>
    <row r="418" spans="1:16">
      <c r="A418">
        <v>417</v>
      </c>
      <c r="B418" t="s">
        <v>58</v>
      </c>
      <c r="C418" t="s">
        <v>222</v>
      </c>
      <c r="D418" t="s">
        <v>60</v>
      </c>
      <c r="E418" t="s">
        <v>33</v>
      </c>
      <c r="F418" t="s">
        <v>17</v>
      </c>
      <c r="G418">
        <v>1378</v>
      </c>
      <c r="H418">
        <v>20</v>
      </c>
      <c r="I418">
        <v>27560</v>
      </c>
      <c r="J418">
        <v>4</v>
      </c>
      <c r="K418" t="s">
        <v>28</v>
      </c>
      <c r="L418">
        <v>9</v>
      </c>
      <c r="M418" t="str">
        <f t="shared" si="18"/>
        <v>September</v>
      </c>
      <c r="N418">
        <v>2025</v>
      </c>
      <c r="O418">
        <f t="shared" si="19"/>
        <v>19292</v>
      </c>
      <c r="P418">
        <f t="shared" si="20"/>
        <v>8268</v>
      </c>
    </row>
    <row r="419" spans="1:16">
      <c r="A419">
        <v>418</v>
      </c>
      <c r="B419" t="s">
        <v>44</v>
      </c>
      <c r="C419" t="s">
        <v>215</v>
      </c>
      <c r="D419" t="s">
        <v>21</v>
      </c>
      <c r="E419" t="s">
        <v>33</v>
      </c>
      <c r="F419" t="s">
        <v>27</v>
      </c>
      <c r="G419">
        <v>518</v>
      </c>
      <c r="H419">
        <v>8</v>
      </c>
      <c r="I419">
        <v>4144</v>
      </c>
      <c r="J419">
        <v>4.7</v>
      </c>
      <c r="K419" t="s">
        <v>23</v>
      </c>
      <c r="L419">
        <v>10</v>
      </c>
      <c r="M419" t="str">
        <f t="shared" si="18"/>
        <v>October</v>
      </c>
      <c r="N419">
        <v>2025</v>
      </c>
      <c r="O419">
        <f t="shared" si="19"/>
        <v>2900.7999999999997</v>
      </c>
      <c r="P419">
        <f t="shared" si="20"/>
        <v>1243.2000000000003</v>
      </c>
    </row>
    <row r="420" spans="1:16">
      <c r="A420">
        <v>419</v>
      </c>
      <c r="B420" t="s">
        <v>69</v>
      </c>
      <c r="C420" t="s">
        <v>211</v>
      </c>
      <c r="D420" t="s">
        <v>76</v>
      </c>
      <c r="E420" t="s">
        <v>16</v>
      </c>
      <c r="F420" t="s">
        <v>63</v>
      </c>
      <c r="G420">
        <v>500</v>
      </c>
      <c r="H420">
        <v>8</v>
      </c>
      <c r="I420">
        <v>4000</v>
      </c>
      <c r="J420">
        <v>3.7</v>
      </c>
      <c r="K420" t="s">
        <v>18</v>
      </c>
      <c r="L420">
        <v>10</v>
      </c>
      <c r="M420" t="str">
        <f t="shared" si="18"/>
        <v>October</v>
      </c>
      <c r="N420">
        <v>2025</v>
      </c>
      <c r="O420">
        <f t="shared" si="19"/>
        <v>2800</v>
      </c>
      <c r="P420">
        <f t="shared" si="20"/>
        <v>1200</v>
      </c>
    </row>
    <row r="421" spans="1:16">
      <c r="A421">
        <v>420</v>
      </c>
      <c r="B421" t="s">
        <v>58</v>
      </c>
      <c r="C421" t="s">
        <v>222</v>
      </c>
      <c r="D421" t="s">
        <v>26</v>
      </c>
      <c r="E421" t="s">
        <v>33</v>
      </c>
      <c r="F421" t="s">
        <v>17</v>
      </c>
      <c r="G421">
        <v>1151</v>
      </c>
      <c r="H421">
        <v>15</v>
      </c>
      <c r="I421">
        <v>17265</v>
      </c>
      <c r="J421">
        <v>3.9</v>
      </c>
      <c r="K421" t="s">
        <v>28</v>
      </c>
      <c r="L421">
        <v>1</v>
      </c>
      <c r="M421" t="str">
        <f t="shared" si="18"/>
        <v>January</v>
      </c>
      <c r="N421">
        <v>2025</v>
      </c>
      <c r="O421">
        <f t="shared" si="19"/>
        <v>12085.5</v>
      </c>
      <c r="P421">
        <f t="shared" si="20"/>
        <v>5179.5</v>
      </c>
    </row>
    <row r="422" spans="1:16">
      <c r="A422">
        <v>421</v>
      </c>
      <c r="B422" t="s">
        <v>69</v>
      </c>
      <c r="C422" t="s">
        <v>121</v>
      </c>
      <c r="D422" t="s">
        <v>30</v>
      </c>
      <c r="E422" t="s">
        <v>16</v>
      </c>
      <c r="F422" t="s">
        <v>27</v>
      </c>
      <c r="G422">
        <v>767</v>
      </c>
      <c r="H422">
        <v>12</v>
      </c>
      <c r="I422">
        <v>9204</v>
      </c>
      <c r="J422">
        <v>5</v>
      </c>
      <c r="K422" t="s">
        <v>47</v>
      </c>
      <c r="L422">
        <v>12</v>
      </c>
      <c r="M422" t="str">
        <f t="shared" si="18"/>
        <v>December</v>
      </c>
      <c r="N422">
        <v>2025</v>
      </c>
      <c r="O422">
        <f t="shared" si="19"/>
        <v>6442.7999999999993</v>
      </c>
      <c r="P422">
        <f t="shared" si="20"/>
        <v>2761.2000000000007</v>
      </c>
    </row>
    <row r="423" spans="1:16">
      <c r="A423">
        <v>422</v>
      </c>
      <c r="B423" t="s">
        <v>19</v>
      </c>
      <c r="C423" t="s">
        <v>120</v>
      </c>
      <c r="D423" t="s">
        <v>38</v>
      </c>
      <c r="E423" t="s">
        <v>16</v>
      </c>
      <c r="F423" t="s">
        <v>39</v>
      </c>
      <c r="G423">
        <v>1002</v>
      </c>
      <c r="H423">
        <v>18</v>
      </c>
      <c r="I423">
        <v>18036</v>
      </c>
      <c r="J423">
        <v>4.0999999999999996</v>
      </c>
      <c r="K423" t="s">
        <v>28</v>
      </c>
      <c r="L423">
        <v>10</v>
      </c>
      <c r="M423" t="str">
        <f t="shared" si="18"/>
        <v>October</v>
      </c>
      <c r="N423">
        <v>2025</v>
      </c>
      <c r="O423">
        <f t="shared" si="19"/>
        <v>12625.199999999999</v>
      </c>
      <c r="P423">
        <f t="shared" si="20"/>
        <v>5410.8000000000011</v>
      </c>
    </row>
    <row r="424" spans="1:16">
      <c r="A424">
        <v>423</v>
      </c>
      <c r="B424" t="s">
        <v>19</v>
      </c>
      <c r="C424" t="s">
        <v>223</v>
      </c>
      <c r="D424" t="s">
        <v>21</v>
      </c>
      <c r="E424" t="s">
        <v>43</v>
      </c>
      <c r="F424" t="s">
        <v>63</v>
      </c>
      <c r="G424">
        <v>712</v>
      </c>
      <c r="H424">
        <v>2</v>
      </c>
      <c r="I424">
        <v>1424</v>
      </c>
      <c r="J424">
        <v>3.1</v>
      </c>
      <c r="K424" t="s">
        <v>18</v>
      </c>
      <c r="L424">
        <v>11</v>
      </c>
      <c r="M424" t="str">
        <f t="shared" si="18"/>
        <v>November</v>
      </c>
      <c r="N424">
        <v>2025</v>
      </c>
      <c r="O424">
        <f t="shared" si="19"/>
        <v>996.8</v>
      </c>
      <c r="P424">
        <f t="shared" si="20"/>
        <v>427.20000000000005</v>
      </c>
    </row>
    <row r="425" spans="1:16">
      <c r="A425">
        <v>424</v>
      </c>
      <c r="B425" t="s">
        <v>24</v>
      </c>
      <c r="C425" t="s">
        <v>152</v>
      </c>
      <c r="D425" t="s">
        <v>60</v>
      </c>
      <c r="E425" t="s">
        <v>16</v>
      </c>
      <c r="F425" t="s">
        <v>39</v>
      </c>
      <c r="G425">
        <v>573</v>
      </c>
      <c r="H425">
        <v>9</v>
      </c>
      <c r="I425">
        <v>5157</v>
      </c>
      <c r="J425">
        <v>4.5999999999999996</v>
      </c>
      <c r="K425" t="s">
        <v>28</v>
      </c>
      <c r="L425">
        <v>12</v>
      </c>
      <c r="M425" t="str">
        <f t="shared" si="18"/>
        <v>December</v>
      </c>
      <c r="N425">
        <v>2025</v>
      </c>
      <c r="O425">
        <f t="shared" si="19"/>
        <v>3609.8999999999996</v>
      </c>
      <c r="P425">
        <f t="shared" si="20"/>
        <v>1547.1000000000004</v>
      </c>
    </row>
    <row r="426" spans="1:16">
      <c r="A426">
        <v>425</v>
      </c>
      <c r="B426" t="s">
        <v>40</v>
      </c>
      <c r="C426" t="s">
        <v>61</v>
      </c>
      <c r="D426" t="s">
        <v>76</v>
      </c>
      <c r="E426" t="s">
        <v>50</v>
      </c>
      <c r="F426" t="s">
        <v>39</v>
      </c>
      <c r="G426">
        <v>784</v>
      </c>
      <c r="H426">
        <v>13</v>
      </c>
      <c r="I426">
        <v>10192</v>
      </c>
      <c r="J426">
        <v>3.2</v>
      </c>
      <c r="K426" t="s">
        <v>35</v>
      </c>
      <c r="L426">
        <v>1</v>
      </c>
      <c r="M426" t="str">
        <f t="shared" si="18"/>
        <v>January</v>
      </c>
      <c r="N426">
        <v>2025</v>
      </c>
      <c r="O426">
        <f t="shared" si="19"/>
        <v>7134.4</v>
      </c>
      <c r="P426">
        <f t="shared" si="20"/>
        <v>3057.6000000000004</v>
      </c>
    </row>
    <row r="427" spans="1:16">
      <c r="A427">
        <v>426</v>
      </c>
      <c r="B427" t="s">
        <v>58</v>
      </c>
      <c r="C427" t="s">
        <v>222</v>
      </c>
      <c r="D427" t="s">
        <v>60</v>
      </c>
      <c r="E427" t="s">
        <v>16</v>
      </c>
      <c r="F427" t="s">
        <v>22</v>
      </c>
      <c r="G427">
        <v>1130</v>
      </c>
      <c r="H427">
        <v>16</v>
      </c>
      <c r="I427">
        <v>18080</v>
      </c>
      <c r="J427">
        <v>3.1</v>
      </c>
      <c r="K427" t="s">
        <v>23</v>
      </c>
      <c r="L427">
        <v>7</v>
      </c>
      <c r="M427" t="str">
        <f t="shared" si="18"/>
        <v>July</v>
      </c>
      <c r="N427">
        <v>2025</v>
      </c>
      <c r="O427">
        <f t="shared" si="19"/>
        <v>12656</v>
      </c>
      <c r="P427">
        <f t="shared" si="20"/>
        <v>5424</v>
      </c>
    </row>
    <row r="428" spans="1:16">
      <c r="A428">
        <v>427</v>
      </c>
      <c r="B428" t="s">
        <v>58</v>
      </c>
      <c r="C428" t="s">
        <v>124</v>
      </c>
      <c r="D428" t="s">
        <v>21</v>
      </c>
      <c r="E428" t="s">
        <v>16</v>
      </c>
      <c r="F428" t="s">
        <v>22</v>
      </c>
      <c r="G428">
        <v>1490</v>
      </c>
      <c r="H428">
        <v>9</v>
      </c>
      <c r="I428">
        <v>13410</v>
      </c>
      <c r="J428">
        <v>4.5</v>
      </c>
      <c r="K428" t="s">
        <v>47</v>
      </c>
      <c r="L428">
        <v>3</v>
      </c>
      <c r="M428" t="str">
        <f t="shared" si="18"/>
        <v>March</v>
      </c>
      <c r="N428">
        <v>2025</v>
      </c>
      <c r="O428">
        <f t="shared" si="19"/>
        <v>9387</v>
      </c>
      <c r="P428">
        <f t="shared" si="20"/>
        <v>4023</v>
      </c>
    </row>
    <row r="429" spans="1:16">
      <c r="A429">
        <v>428</v>
      </c>
      <c r="B429" t="s">
        <v>13</v>
      </c>
      <c r="C429" t="s">
        <v>213</v>
      </c>
      <c r="D429" t="s">
        <v>60</v>
      </c>
      <c r="E429" t="s">
        <v>43</v>
      </c>
      <c r="F429" t="s">
        <v>17</v>
      </c>
      <c r="G429">
        <v>1084</v>
      </c>
      <c r="H429">
        <v>13</v>
      </c>
      <c r="I429">
        <v>14092</v>
      </c>
      <c r="J429">
        <v>4.2</v>
      </c>
      <c r="K429" t="s">
        <v>28</v>
      </c>
      <c r="L429">
        <v>11</v>
      </c>
      <c r="M429" t="str">
        <f t="shared" si="18"/>
        <v>November</v>
      </c>
      <c r="N429">
        <v>2025</v>
      </c>
      <c r="O429">
        <f t="shared" si="19"/>
        <v>9864.4</v>
      </c>
      <c r="P429">
        <f t="shared" si="20"/>
        <v>4227.6000000000004</v>
      </c>
    </row>
    <row r="430" spans="1:16">
      <c r="A430">
        <v>429</v>
      </c>
      <c r="B430" t="s">
        <v>44</v>
      </c>
      <c r="C430" t="s">
        <v>215</v>
      </c>
      <c r="D430" t="s">
        <v>21</v>
      </c>
      <c r="E430" t="s">
        <v>43</v>
      </c>
      <c r="F430" t="s">
        <v>27</v>
      </c>
      <c r="G430">
        <v>1183</v>
      </c>
      <c r="H430">
        <v>7</v>
      </c>
      <c r="I430">
        <v>8281</v>
      </c>
      <c r="J430">
        <v>4.4000000000000004</v>
      </c>
      <c r="K430" t="s">
        <v>23</v>
      </c>
      <c r="L430">
        <v>10</v>
      </c>
      <c r="M430" t="str">
        <f t="shared" si="18"/>
        <v>October</v>
      </c>
      <c r="N430">
        <v>2025</v>
      </c>
      <c r="O430">
        <f t="shared" si="19"/>
        <v>5796.7</v>
      </c>
      <c r="P430">
        <f t="shared" si="20"/>
        <v>2484.3000000000002</v>
      </c>
    </row>
    <row r="431" spans="1:16">
      <c r="A431">
        <v>430</v>
      </c>
      <c r="B431" t="s">
        <v>36</v>
      </c>
      <c r="C431" t="s">
        <v>135</v>
      </c>
      <c r="D431" t="s">
        <v>42</v>
      </c>
      <c r="E431" t="s">
        <v>50</v>
      </c>
      <c r="F431" t="s">
        <v>63</v>
      </c>
      <c r="G431">
        <v>986</v>
      </c>
      <c r="H431">
        <v>15</v>
      </c>
      <c r="I431">
        <v>14790</v>
      </c>
      <c r="J431">
        <v>4.4000000000000004</v>
      </c>
      <c r="K431" t="s">
        <v>47</v>
      </c>
      <c r="L431">
        <v>4</v>
      </c>
      <c r="M431" t="str">
        <f t="shared" si="18"/>
        <v>April</v>
      </c>
      <c r="N431">
        <v>2025</v>
      </c>
      <c r="O431">
        <f t="shared" si="19"/>
        <v>10353</v>
      </c>
      <c r="P431">
        <f t="shared" si="20"/>
        <v>4437</v>
      </c>
    </row>
    <row r="432" spans="1:16">
      <c r="A432">
        <v>431</v>
      </c>
      <c r="B432" t="s">
        <v>58</v>
      </c>
      <c r="C432" t="s">
        <v>118</v>
      </c>
      <c r="D432" t="s">
        <v>21</v>
      </c>
      <c r="E432" t="s">
        <v>16</v>
      </c>
      <c r="F432" t="s">
        <v>17</v>
      </c>
      <c r="G432">
        <v>1225</v>
      </c>
      <c r="H432">
        <v>16</v>
      </c>
      <c r="I432">
        <v>19600</v>
      </c>
      <c r="J432">
        <v>4.4000000000000004</v>
      </c>
      <c r="K432" t="s">
        <v>47</v>
      </c>
      <c r="L432">
        <v>10</v>
      </c>
      <c r="M432" t="str">
        <f t="shared" si="18"/>
        <v>October</v>
      </c>
      <c r="N432">
        <v>2025</v>
      </c>
      <c r="O432">
        <f t="shared" si="19"/>
        <v>13720</v>
      </c>
      <c r="P432">
        <f t="shared" si="20"/>
        <v>5880</v>
      </c>
    </row>
    <row r="433" spans="1:16">
      <c r="A433">
        <v>432</v>
      </c>
      <c r="B433" t="s">
        <v>58</v>
      </c>
      <c r="C433" t="s">
        <v>153</v>
      </c>
      <c r="D433" t="s">
        <v>15</v>
      </c>
      <c r="E433" t="s">
        <v>16</v>
      </c>
      <c r="F433" t="s">
        <v>34</v>
      </c>
      <c r="G433">
        <v>336</v>
      </c>
      <c r="H433">
        <v>20</v>
      </c>
      <c r="I433">
        <v>6720</v>
      </c>
      <c r="J433">
        <v>4.8</v>
      </c>
      <c r="K433" t="s">
        <v>47</v>
      </c>
      <c r="L433">
        <v>8</v>
      </c>
      <c r="M433" t="str">
        <f t="shared" si="18"/>
        <v>August</v>
      </c>
      <c r="N433">
        <v>2025</v>
      </c>
      <c r="O433">
        <f t="shared" si="19"/>
        <v>4704</v>
      </c>
      <c r="P433">
        <f t="shared" si="20"/>
        <v>2016</v>
      </c>
    </row>
    <row r="434" spans="1:16">
      <c r="A434">
        <v>433</v>
      </c>
      <c r="B434" t="s">
        <v>64</v>
      </c>
      <c r="C434" t="s">
        <v>171</v>
      </c>
      <c r="D434" t="s">
        <v>57</v>
      </c>
      <c r="E434" t="s">
        <v>43</v>
      </c>
      <c r="F434" t="s">
        <v>17</v>
      </c>
      <c r="G434">
        <v>922</v>
      </c>
      <c r="H434">
        <v>11</v>
      </c>
      <c r="I434">
        <v>10142</v>
      </c>
      <c r="J434">
        <v>3.4</v>
      </c>
      <c r="K434" t="s">
        <v>28</v>
      </c>
      <c r="L434">
        <v>11</v>
      </c>
      <c r="M434" t="str">
        <f t="shared" si="18"/>
        <v>November</v>
      </c>
      <c r="N434">
        <v>2025</v>
      </c>
      <c r="O434">
        <f t="shared" si="19"/>
        <v>7099.4</v>
      </c>
      <c r="P434">
        <f t="shared" si="20"/>
        <v>3042.6000000000004</v>
      </c>
    </row>
    <row r="435" spans="1:16">
      <c r="A435">
        <v>434</v>
      </c>
      <c r="B435" t="s">
        <v>19</v>
      </c>
      <c r="C435" t="s">
        <v>20</v>
      </c>
      <c r="D435" t="s">
        <v>57</v>
      </c>
      <c r="E435" t="s">
        <v>16</v>
      </c>
      <c r="F435" t="s">
        <v>27</v>
      </c>
      <c r="G435">
        <v>1003</v>
      </c>
      <c r="H435">
        <v>5</v>
      </c>
      <c r="I435">
        <v>5015</v>
      </c>
      <c r="J435">
        <v>3.9</v>
      </c>
      <c r="K435" t="s">
        <v>47</v>
      </c>
      <c r="L435">
        <v>12</v>
      </c>
      <c r="M435" t="str">
        <f t="shared" si="18"/>
        <v>December</v>
      </c>
      <c r="N435">
        <v>2025</v>
      </c>
      <c r="O435">
        <f t="shared" si="19"/>
        <v>3510.5</v>
      </c>
      <c r="P435">
        <f t="shared" si="20"/>
        <v>1504.5</v>
      </c>
    </row>
    <row r="436" spans="1:16">
      <c r="A436">
        <v>435</v>
      </c>
      <c r="B436" t="s">
        <v>44</v>
      </c>
      <c r="C436" t="s">
        <v>149</v>
      </c>
      <c r="D436" t="s">
        <v>30</v>
      </c>
      <c r="E436" t="s">
        <v>43</v>
      </c>
      <c r="F436" t="s">
        <v>27</v>
      </c>
      <c r="G436">
        <v>911</v>
      </c>
      <c r="H436">
        <v>18</v>
      </c>
      <c r="I436">
        <v>16398</v>
      </c>
      <c r="J436">
        <v>4.0999999999999996</v>
      </c>
      <c r="K436" t="s">
        <v>18</v>
      </c>
      <c r="L436">
        <v>6</v>
      </c>
      <c r="M436" t="str">
        <f t="shared" si="18"/>
        <v>June</v>
      </c>
      <c r="N436">
        <v>2025</v>
      </c>
      <c r="O436">
        <f t="shared" si="19"/>
        <v>11478.599999999999</v>
      </c>
      <c r="P436">
        <f t="shared" si="20"/>
        <v>4919.4000000000015</v>
      </c>
    </row>
    <row r="437" spans="1:16">
      <c r="A437">
        <v>436</v>
      </c>
      <c r="B437" t="s">
        <v>64</v>
      </c>
      <c r="C437" t="s">
        <v>224</v>
      </c>
      <c r="D437" t="s">
        <v>30</v>
      </c>
      <c r="E437" t="s">
        <v>50</v>
      </c>
      <c r="F437" t="s">
        <v>17</v>
      </c>
      <c r="G437">
        <v>1333</v>
      </c>
      <c r="H437">
        <v>5</v>
      </c>
      <c r="I437">
        <v>6665</v>
      </c>
      <c r="J437">
        <v>4</v>
      </c>
      <c r="K437" t="s">
        <v>47</v>
      </c>
      <c r="L437">
        <v>11</v>
      </c>
      <c r="M437" t="str">
        <f t="shared" si="18"/>
        <v>November</v>
      </c>
      <c r="N437">
        <v>2025</v>
      </c>
      <c r="O437">
        <f t="shared" si="19"/>
        <v>4665.5</v>
      </c>
      <c r="P437">
        <f t="shared" si="20"/>
        <v>1999.5</v>
      </c>
    </row>
    <row r="438" spans="1:16">
      <c r="A438">
        <v>437</v>
      </c>
      <c r="B438" t="s">
        <v>64</v>
      </c>
      <c r="C438" t="s">
        <v>208</v>
      </c>
      <c r="D438" t="s">
        <v>21</v>
      </c>
      <c r="E438" t="s">
        <v>16</v>
      </c>
      <c r="F438" t="s">
        <v>17</v>
      </c>
      <c r="G438">
        <v>819</v>
      </c>
      <c r="H438">
        <v>13</v>
      </c>
      <c r="I438">
        <v>10647</v>
      </c>
      <c r="J438">
        <v>3.9</v>
      </c>
      <c r="K438" t="s">
        <v>23</v>
      </c>
      <c r="L438">
        <v>1</v>
      </c>
      <c r="M438" t="str">
        <f t="shared" si="18"/>
        <v>January</v>
      </c>
      <c r="N438">
        <v>2025</v>
      </c>
      <c r="O438">
        <f t="shared" si="19"/>
        <v>7452.9</v>
      </c>
      <c r="P438">
        <f t="shared" si="20"/>
        <v>3194.1000000000004</v>
      </c>
    </row>
    <row r="439" spans="1:16">
      <c r="A439">
        <v>438</v>
      </c>
      <c r="B439" t="s">
        <v>36</v>
      </c>
      <c r="C439" t="s">
        <v>129</v>
      </c>
      <c r="D439" t="s">
        <v>32</v>
      </c>
      <c r="E439" t="s">
        <v>50</v>
      </c>
      <c r="F439" t="s">
        <v>34</v>
      </c>
      <c r="G439">
        <v>1460</v>
      </c>
      <c r="H439">
        <v>9</v>
      </c>
      <c r="I439">
        <v>13140</v>
      </c>
      <c r="J439">
        <v>4.2</v>
      </c>
      <c r="K439" t="s">
        <v>18</v>
      </c>
      <c r="L439">
        <v>3</v>
      </c>
      <c r="M439" t="str">
        <f t="shared" si="18"/>
        <v>March</v>
      </c>
      <c r="N439">
        <v>2025</v>
      </c>
      <c r="O439">
        <f t="shared" si="19"/>
        <v>9198</v>
      </c>
      <c r="P439">
        <f t="shared" si="20"/>
        <v>3942</v>
      </c>
    </row>
    <row r="440" spans="1:16">
      <c r="A440">
        <v>439</v>
      </c>
      <c r="B440" t="s">
        <v>13</v>
      </c>
      <c r="C440" t="s">
        <v>85</v>
      </c>
      <c r="D440" t="s">
        <v>30</v>
      </c>
      <c r="E440" t="s">
        <v>50</v>
      </c>
      <c r="F440" t="s">
        <v>34</v>
      </c>
      <c r="G440">
        <v>327</v>
      </c>
      <c r="H440">
        <v>11</v>
      </c>
      <c r="I440">
        <v>3597</v>
      </c>
      <c r="J440">
        <v>3.4</v>
      </c>
      <c r="K440" t="s">
        <v>35</v>
      </c>
      <c r="L440">
        <v>11</v>
      </c>
      <c r="M440" t="str">
        <f t="shared" si="18"/>
        <v>November</v>
      </c>
      <c r="N440">
        <v>2025</v>
      </c>
      <c r="O440">
        <f t="shared" si="19"/>
        <v>2517.8999999999996</v>
      </c>
      <c r="P440">
        <f t="shared" si="20"/>
        <v>1079.1000000000004</v>
      </c>
    </row>
    <row r="441" spans="1:16">
      <c r="A441">
        <v>440</v>
      </c>
      <c r="B441" t="s">
        <v>40</v>
      </c>
      <c r="C441" t="s">
        <v>164</v>
      </c>
      <c r="D441" t="s">
        <v>30</v>
      </c>
      <c r="E441" t="s">
        <v>43</v>
      </c>
      <c r="F441" t="s">
        <v>34</v>
      </c>
      <c r="G441">
        <v>584</v>
      </c>
      <c r="H441">
        <v>13</v>
      </c>
      <c r="I441">
        <v>7592</v>
      </c>
      <c r="J441">
        <v>4.4000000000000004</v>
      </c>
      <c r="K441" t="s">
        <v>23</v>
      </c>
      <c r="L441">
        <v>10</v>
      </c>
      <c r="M441" t="str">
        <f t="shared" si="18"/>
        <v>October</v>
      </c>
      <c r="N441">
        <v>2025</v>
      </c>
      <c r="O441">
        <f t="shared" si="19"/>
        <v>5314.4</v>
      </c>
      <c r="P441">
        <f t="shared" si="20"/>
        <v>2277.6000000000004</v>
      </c>
    </row>
    <row r="442" spans="1:16">
      <c r="A442">
        <v>441</v>
      </c>
      <c r="B442" t="s">
        <v>19</v>
      </c>
      <c r="C442" t="s">
        <v>72</v>
      </c>
      <c r="D442" t="s">
        <v>42</v>
      </c>
      <c r="E442" t="s">
        <v>16</v>
      </c>
      <c r="F442" t="s">
        <v>39</v>
      </c>
      <c r="G442">
        <v>1312</v>
      </c>
      <c r="H442">
        <v>1</v>
      </c>
      <c r="I442">
        <v>1312</v>
      </c>
      <c r="J442">
        <v>3.2</v>
      </c>
      <c r="K442" t="s">
        <v>28</v>
      </c>
      <c r="L442">
        <v>12</v>
      </c>
      <c r="M442" t="str">
        <f t="shared" si="18"/>
        <v>December</v>
      </c>
      <c r="N442">
        <v>2025</v>
      </c>
      <c r="O442">
        <f t="shared" si="19"/>
        <v>918.4</v>
      </c>
      <c r="P442">
        <f t="shared" si="20"/>
        <v>393.6</v>
      </c>
    </row>
    <row r="443" spans="1:16">
      <c r="A443">
        <v>442</v>
      </c>
      <c r="B443" t="s">
        <v>55</v>
      </c>
      <c r="C443" t="s">
        <v>97</v>
      </c>
      <c r="D443" t="s">
        <v>21</v>
      </c>
      <c r="E443" t="s">
        <v>43</v>
      </c>
      <c r="F443" t="s">
        <v>17</v>
      </c>
      <c r="G443">
        <v>350</v>
      </c>
      <c r="H443">
        <v>2</v>
      </c>
      <c r="I443">
        <v>700</v>
      </c>
      <c r="J443">
        <v>4.4000000000000004</v>
      </c>
      <c r="K443" t="s">
        <v>28</v>
      </c>
      <c r="L443">
        <v>7</v>
      </c>
      <c r="M443" t="str">
        <f t="shared" si="18"/>
        <v>July</v>
      </c>
      <c r="N443">
        <v>2025</v>
      </c>
      <c r="O443">
        <f t="shared" si="19"/>
        <v>489.99999999999994</v>
      </c>
      <c r="P443">
        <f t="shared" si="20"/>
        <v>210.00000000000006</v>
      </c>
    </row>
    <row r="444" spans="1:16">
      <c r="A444">
        <v>443</v>
      </c>
      <c r="B444" t="s">
        <v>19</v>
      </c>
      <c r="C444" t="s">
        <v>31</v>
      </c>
      <c r="D444" t="s">
        <v>30</v>
      </c>
      <c r="E444" t="s">
        <v>33</v>
      </c>
      <c r="F444" t="s">
        <v>34</v>
      </c>
      <c r="G444">
        <v>688</v>
      </c>
      <c r="H444">
        <v>12</v>
      </c>
      <c r="I444">
        <v>8256</v>
      </c>
      <c r="J444">
        <v>3.3</v>
      </c>
      <c r="K444" t="s">
        <v>28</v>
      </c>
      <c r="L444">
        <v>8</v>
      </c>
      <c r="M444" t="str">
        <f t="shared" si="18"/>
        <v>August</v>
      </c>
      <c r="N444">
        <v>2025</v>
      </c>
      <c r="O444">
        <f t="shared" si="19"/>
        <v>5779.2</v>
      </c>
      <c r="P444">
        <f t="shared" si="20"/>
        <v>2476.8000000000002</v>
      </c>
    </row>
    <row r="445" spans="1:16">
      <c r="A445">
        <v>444</v>
      </c>
      <c r="B445" t="s">
        <v>55</v>
      </c>
      <c r="C445" t="s">
        <v>97</v>
      </c>
      <c r="D445" t="s">
        <v>60</v>
      </c>
      <c r="E445" t="s">
        <v>50</v>
      </c>
      <c r="F445" t="s">
        <v>17</v>
      </c>
      <c r="G445">
        <v>1466</v>
      </c>
      <c r="H445">
        <v>8</v>
      </c>
      <c r="I445">
        <v>11728</v>
      </c>
      <c r="J445">
        <v>4.5999999999999996</v>
      </c>
      <c r="K445" t="s">
        <v>47</v>
      </c>
      <c r="L445">
        <v>12</v>
      </c>
      <c r="M445" t="str">
        <f t="shared" si="18"/>
        <v>December</v>
      </c>
      <c r="N445">
        <v>2025</v>
      </c>
      <c r="O445">
        <f t="shared" si="19"/>
        <v>8209.6</v>
      </c>
      <c r="P445">
        <f t="shared" si="20"/>
        <v>3518.3999999999996</v>
      </c>
    </row>
    <row r="446" spans="1:16">
      <c r="A446">
        <v>445</v>
      </c>
      <c r="B446" t="s">
        <v>36</v>
      </c>
      <c r="C446" t="s">
        <v>49</v>
      </c>
      <c r="D446" t="s">
        <v>76</v>
      </c>
      <c r="E446" t="s">
        <v>33</v>
      </c>
      <c r="F446" t="s">
        <v>22</v>
      </c>
      <c r="G446">
        <v>910</v>
      </c>
      <c r="H446">
        <v>10</v>
      </c>
      <c r="I446">
        <v>9100</v>
      </c>
      <c r="J446">
        <v>4.4000000000000004</v>
      </c>
      <c r="K446" t="s">
        <v>47</v>
      </c>
      <c r="L446">
        <v>8</v>
      </c>
      <c r="M446" t="str">
        <f t="shared" si="18"/>
        <v>August</v>
      </c>
      <c r="N446">
        <v>2025</v>
      </c>
      <c r="O446">
        <f t="shared" si="19"/>
        <v>6370</v>
      </c>
      <c r="P446">
        <f t="shared" si="20"/>
        <v>2730</v>
      </c>
    </row>
    <row r="447" spans="1:16">
      <c r="A447">
        <v>446</v>
      </c>
      <c r="B447" t="s">
        <v>58</v>
      </c>
      <c r="C447" t="s">
        <v>144</v>
      </c>
      <c r="D447" t="s">
        <v>30</v>
      </c>
      <c r="E447" t="s">
        <v>33</v>
      </c>
      <c r="F447" t="s">
        <v>22</v>
      </c>
      <c r="G447">
        <v>663</v>
      </c>
      <c r="H447">
        <v>3</v>
      </c>
      <c r="I447">
        <v>1989</v>
      </c>
      <c r="J447">
        <v>4.8</v>
      </c>
      <c r="K447" t="s">
        <v>35</v>
      </c>
      <c r="L447">
        <v>11</v>
      </c>
      <c r="M447" t="str">
        <f t="shared" si="18"/>
        <v>November</v>
      </c>
      <c r="N447">
        <v>2025</v>
      </c>
      <c r="O447">
        <f t="shared" si="19"/>
        <v>1392.3</v>
      </c>
      <c r="P447">
        <f t="shared" si="20"/>
        <v>596.70000000000005</v>
      </c>
    </row>
    <row r="448" spans="1:16">
      <c r="A448">
        <v>447</v>
      </c>
      <c r="B448" t="s">
        <v>69</v>
      </c>
      <c r="C448" t="s">
        <v>225</v>
      </c>
      <c r="D448" t="s">
        <v>30</v>
      </c>
      <c r="E448" t="s">
        <v>16</v>
      </c>
      <c r="F448" t="s">
        <v>63</v>
      </c>
      <c r="G448">
        <v>846</v>
      </c>
      <c r="H448">
        <v>8</v>
      </c>
      <c r="I448">
        <v>6768</v>
      </c>
      <c r="J448">
        <v>3.9</v>
      </c>
      <c r="K448" t="s">
        <v>47</v>
      </c>
      <c r="L448">
        <v>9</v>
      </c>
      <c r="M448" t="str">
        <f t="shared" si="18"/>
        <v>September</v>
      </c>
      <c r="N448">
        <v>2025</v>
      </c>
      <c r="O448">
        <f t="shared" si="19"/>
        <v>4737.5999999999995</v>
      </c>
      <c r="P448">
        <f t="shared" si="20"/>
        <v>2030.4000000000005</v>
      </c>
    </row>
    <row r="449" spans="1:16">
      <c r="A449">
        <v>448</v>
      </c>
      <c r="B449" t="s">
        <v>36</v>
      </c>
      <c r="C449" t="s">
        <v>82</v>
      </c>
      <c r="D449" t="s">
        <v>15</v>
      </c>
      <c r="E449" t="s">
        <v>16</v>
      </c>
      <c r="F449" t="s">
        <v>22</v>
      </c>
      <c r="G449">
        <v>1109</v>
      </c>
      <c r="H449">
        <v>16</v>
      </c>
      <c r="I449">
        <v>17744</v>
      </c>
      <c r="J449">
        <v>4.0999999999999996</v>
      </c>
      <c r="K449" t="s">
        <v>28</v>
      </c>
      <c r="L449">
        <v>8</v>
      </c>
      <c r="M449" t="str">
        <f t="shared" si="18"/>
        <v>August</v>
      </c>
      <c r="N449">
        <v>2025</v>
      </c>
      <c r="O449">
        <f t="shared" si="19"/>
        <v>12420.8</v>
      </c>
      <c r="P449">
        <f t="shared" si="20"/>
        <v>5323.2000000000007</v>
      </c>
    </row>
    <row r="450" spans="1:16">
      <c r="A450">
        <v>449</v>
      </c>
      <c r="B450" t="s">
        <v>19</v>
      </c>
      <c r="C450" t="s">
        <v>110</v>
      </c>
      <c r="D450" t="s">
        <v>57</v>
      </c>
      <c r="E450" t="s">
        <v>43</v>
      </c>
      <c r="F450" t="s">
        <v>34</v>
      </c>
      <c r="G450">
        <v>475</v>
      </c>
      <c r="H450">
        <v>2</v>
      </c>
      <c r="I450">
        <v>950</v>
      </c>
      <c r="J450">
        <v>3.4</v>
      </c>
      <c r="K450" t="s">
        <v>28</v>
      </c>
      <c r="L450">
        <v>4</v>
      </c>
      <c r="M450" t="str">
        <f t="shared" si="18"/>
        <v>April</v>
      </c>
      <c r="N450">
        <v>2025</v>
      </c>
      <c r="O450">
        <f t="shared" si="19"/>
        <v>665</v>
      </c>
      <c r="P450">
        <f t="shared" si="20"/>
        <v>285</v>
      </c>
    </row>
    <row r="451" spans="1:16">
      <c r="A451">
        <v>450</v>
      </c>
      <c r="B451" t="s">
        <v>24</v>
      </c>
      <c r="C451" t="s">
        <v>109</v>
      </c>
      <c r="D451" t="s">
        <v>32</v>
      </c>
      <c r="E451" t="s">
        <v>16</v>
      </c>
      <c r="F451" t="s">
        <v>34</v>
      </c>
      <c r="G451">
        <v>503</v>
      </c>
      <c r="H451">
        <v>8</v>
      </c>
      <c r="I451">
        <v>4024</v>
      </c>
      <c r="J451">
        <v>4.9000000000000004</v>
      </c>
      <c r="K451" t="s">
        <v>23</v>
      </c>
      <c r="L451">
        <v>5</v>
      </c>
      <c r="M451" t="str">
        <f t="shared" ref="M451:M501" si="21">TEXT(DATE(2025, L451, 1), "mmmm")</f>
        <v>May</v>
      </c>
      <c r="N451">
        <v>2025</v>
      </c>
      <c r="O451">
        <f t="shared" ref="O451:O501" si="22">I451*0.7</f>
        <v>2816.7999999999997</v>
      </c>
      <c r="P451">
        <f t="shared" ref="P451:P501" si="23">I451-O451</f>
        <v>1207.2000000000003</v>
      </c>
    </row>
    <row r="452" spans="1:16">
      <c r="A452">
        <v>451</v>
      </c>
      <c r="B452" t="s">
        <v>64</v>
      </c>
      <c r="C452" t="s">
        <v>165</v>
      </c>
      <c r="D452" t="s">
        <v>30</v>
      </c>
      <c r="E452" t="s">
        <v>43</v>
      </c>
      <c r="F452" t="s">
        <v>17</v>
      </c>
      <c r="G452">
        <v>658</v>
      </c>
      <c r="H452">
        <v>8</v>
      </c>
      <c r="I452">
        <v>5264</v>
      </c>
      <c r="J452">
        <v>4</v>
      </c>
      <c r="K452" t="s">
        <v>47</v>
      </c>
      <c r="L452">
        <v>9</v>
      </c>
      <c r="M452" t="str">
        <f t="shared" si="21"/>
        <v>September</v>
      </c>
      <c r="N452">
        <v>2025</v>
      </c>
      <c r="O452">
        <f t="shared" si="22"/>
        <v>3684.7999999999997</v>
      </c>
      <c r="P452">
        <f t="shared" si="23"/>
        <v>1579.2000000000003</v>
      </c>
    </row>
    <row r="453" spans="1:16">
      <c r="A453">
        <v>452</v>
      </c>
      <c r="B453" t="s">
        <v>69</v>
      </c>
      <c r="C453" t="s">
        <v>211</v>
      </c>
      <c r="D453" t="s">
        <v>21</v>
      </c>
      <c r="E453" t="s">
        <v>50</v>
      </c>
      <c r="F453" t="s">
        <v>17</v>
      </c>
      <c r="G453">
        <v>1149</v>
      </c>
      <c r="H453">
        <v>9</v>
      </c>
      <c r="I453">
        <v>10341</v>
      </c>
      <c r="J453">
        <v>3.4</v>
      </c>
      <c r="K453" t="s">
        <v>35</v>
      </c>
      <c r="L453">
        <v>8</v>
      </c>
      <c r="M453" t="str">
        <f t="shared" si="21"/>
        <v>August</v>
      </c>
      <c r="N453">
        <v>2025</v>
      </c>
      <c r="O453">
        <f t="shared" si="22"/>
        <v>7238.7</v>
      </c>
      <c r="P453">
        <f t="shared" si="23"/>
        <v>3102.3</v>
      </c>
    </row>
    <row r="454" spans="1:16">
      <c r="A454">
        <v>453</v>
      </c>
      <c r="B454" t="s">
        <v>19</v>
      </c>
      <c r="C454" t="s">
        <v>226</v>
      </c>
      <c r="D454" t="s">
        <v>38</v>
      </c>
      <c r="E454" t="s">
        <v>16</v>
      </c>
      <c r="F454" t="s">
        <v>34</v>
      </c>
      <c r="G454">
        <v>474</v>
      </c>
      <c r="H454">
        <v>17</v>
      </c>
      <c r="I454">
        <v>8058</v>
      </c>
      <c r="J454">
        <v>3.5</v>
      </c>
      <c r="K454" t="s">
        <v>47</v>
      </c>
      <c r="L454">
        <v>10</v>
      </c>
      <c r="M454" t="str">
        <f t="shared" si="21"/>
        <v>October</v>
      </c>
      <c r="N454">
        <v>2025</v>
      </c>
      <c r="O454">
        <f t="shared" si="22"/>
        <v>5640.5999999999995</v>
      </c>
      <c r="P454">
        <f t="shared" si="23"/>
        <v>2417.4000000000005</v>
      </c>
    </row>
    <row r="455" spans="1:16">
      <c r="A455">
        <v>454</v>
      </c>
      <c r="B455" t="s">
        <v>19</v>
      </c>
      <c r="C455" t="s">
        <v>162</v>
      </c>
      <c r="D455" t="s">
        <v>38</v>
      </c>
      <c r="E455" t="s">
        <v>50</v>
      </c>
      <c r="F455" t="s">
        <v>17</v>
      </c>
      <c r="G455">
        <v>1261</v>
      </c>
      <c r="H455">
        <v>3</v>
      </c>
      <c r="I455">
        <v>3783</v>
      </c>
      <c r="J455">
        <v>4.9000000000000004</v>
      </c>
      <c r="K455" t="s">
        <v>47</v>
      </c>
      <c r="L455">
        <v>11</v>
      </c>
      <c r="M455" t="str">
        <f t="shared" si="21"/>
        <v>November</v>
      </c>
      <c r="N455">
        <v>2025</v>
      </c>
      <c r="O455">
        <f t="shared" si="22"/>
        <v>2648.1</v>
      </c>
      <c r="P455">
        <f t="shared" si="23"/>
        <v>1134.9000000000001</v>
      </c>
    </row>
    <row r="456" spans="1:16">
      <c r="A456">
        <v>455</v>
      </c>
      <c r="B456" t="s">
        <v>69</v>
      </c>
      <c r="C456" t="s">
        <v>227</v>
      </c>
      <c r="D456" t="s">
        <v>38</v>
      </c>
      <c r="E456" t="s">
        <v>33</v>
      </c>
      <c r="F456" t="s">
        <v>27</v>
      </c>
      <c r="G456">
        <v>739</v>
      </c>
      <c r="H456">
        <v>8</v>
      </c>
      <c r="I456">
        <v>5912</v>
      </c>
      <c r="J456">
        <v>4.5</v>
      </c>
      <c r="K456" t="s">
        <v>28</v>
      </c>
      <c r="L456">
        <v>10</v>
      </c>
      <c r="M456" t="str">
        <f t="shared" si="21"/>
        <v>October</v>
      </c>
      <c r="N456">
        <v>2025</v>
      </c>
      <c r="O456">
        <f t="shared" si="22"/>
        <v>4138.3999999999996</v>
      </c>
      <c r="P456">
        <f t="shared" si="23"/>
        <v>1773.6000000000004</v>
      </c>
    </row>
    <row r="457" spans="1:16">
      <c r="A457">
        <v>456</v>
      </c>
      <c r="B457" t="s">
        <v>24</v>
      </c>
      <c r="C457" t="s">
        <v>152</v>
      </c>
      <c r="D457" t="s">
        <v>30</v>
      </c>
      <c r="E457" t="s">
        <v>43</v>
      </c>
      <c r="F457" t="s">
        <v>63</v>
      </c>
      <c r="G457">
        <v>1266</v>
      </c>
      <c r="H457">
        <v>11</v>
      </c>
      <c r="I457">
        <v>13926</v>
      </c>
      <c r="J457">
        <v>3.7</v>
      </c>
      <c r="K457" t="s">
        <v>35</v>
      </c>
      <c r="L457">
        <v>9</v>
      </c>
      <c r="M457" t="str">
        <f t="shared" si="21"/>
        <v>September</v>
      </c>
      <c r="N457">
        <v>2025</v>
      </c>
      <c r="O457">
        <f t="shared" si="22"/>
        <v>9748.1999999999989</v>
      </c>
      <c r="P457">
        <f t="shared" si="23"/>
        <v>4177.8000000000011</v>
      </c>
    </row>
    <row r="458" spans="1:16">
      <c r="A458">
        <v>457</v>
      </c>
      <c r="B458" t="s">
        <v>24</v>
      </c>
      <c r="C458" t="s">
        <v>184</v>
      </c>
      <c r="D458" t="s">
        <v>15</v>
      </c>
      <c r="E458" t="s">
        <v>50</v>
      </c>
      <c r="F458" t="s">
        <v>34</v>
      </c>
      <c r="G458">
        <v>538</v>
      </c>
      <c r="H458">
        <v>3</v>
      </c>
      <c r="I458">
        <v>1614</v>
      </c>
      <c r="J458">
        <v>4.4000000000000004</v>
      </c>
      <c r="K458" t="s">
        <v>35</v>
      </c>
      <c r="L458">
        <v>5</v>
      </c>
      <c r="M458" t="str">
        <f t="shared" si="21"/>
        <v>May</v>
      </c>
      <c r="N458">
        <v>2025</v>
      </c>
      <c r="O458">
        <f t="shared" si="22"/>
        <v>1129.8</v>
      </c>
      <c r="P458">
        <f t="shared" si="23"/>
        <v>484.20000000000005</v>
      </c>
    </row>
    <row r="459" spans="1:16">
      <c r="A459">
        <v>458</v>
      </c>
      <c r="B459" t="s">
        <v>44</v>
      </c>
      <c r="C459" t="s">
        <v>159</v>
      </c>
      <c r="D459" t="s">
        <v>30</v>
      </c>
      <c r="E459" t="s">
        <v>50</v>
      </c>
      <c r="F459" t="s">
        <v>39</v>
      </c>
      <c r="G459">
        <v>1372</v>
      </c>
      <c r="H459">
        <v>7</v>
      </c>
      <c r="I459">
        <v>9604</v>
      </c>
      <c r="J459">
        <v>3.9</v>
      </c>
      <c r="K459" t="s">
        <v>28</v>
      </c>
      <c r="L459">
        <v>4</v>
      </c>
      <c r="M459" t="str">
        <f t="shared" si="21"/>
        <v>April</v>
      </c>
      <c r="N459">
        <v>2025</v>
      </c>
      <c r="O459">
        <f t="shared" si="22"/>
        <v>6722.7999999999993</v>
      </c>
      <c r="P459">
        <f t="shared" si="23"/>
        <v>2881.2000000000007</v>
      </c>
    </row>
    <row r="460" spans="1:16">
      <c r="A460">
        <v>459</v>
      </c>
      <c r="B460" t="s">
        <v>58</v>
      </c>
      <c r="C460" t="s">
        <v>228</v>
      </c>
      <c r="D460" t="s">
        <v>32</v>
      </c>
      <c r="E460" t="s">
        <v>33</v>
      </c>
      <c r="F460" t="s">
        <v>27</v>
      </c>
      <c r="G460">
        <v>1015</v>
      </c>
      <c r="H460">
        <v>4</v>
      </c>
      <c r="I460">
        <v>4060</v>
      </c>
      <c r="J460">
        <v>3.8</v>
      </c>
      <c r="K460" t="s">
        <v>35</v>
      </c>
      <c r="L460">
        <v>3</v>
      </c>
      <c r="M460" t="str">
        <f t="shared" si="21"/>
        <v>March</v>
      </c>
      <c r="N460">
        <v>2025</v>
      </c>
      <c r="O460">
        <f t="shared" si="22"/>
        <v>2842</v>
      </c>
      <c r="P460">
        <f t="shared" si="23"/>
        <v>1218</v>
      </c>
    </row>
    <row r="461" spans="1:16">
      <c r="A461">
        <v>460</v>
      </c>
      <c r="B461" t="s">
        <v>44</v>
      </c>
      <c r="C461" t="s">
        <v>53</v>
      </c>
      <c r="D461" t="s">
        <v>38</v>
      </c>
      <c r="E461" t="s">
        <v>33</v>
      </c>
      <c r="F461" t="s">
        <v>17</v>
      </c>
      <c r="G461">
        <v>1338</v>
      </c>
      <c r="H461">
        <v>13</v>
      </c>
      <c r="I461">
        <v>17394</v>
      </c>
      <c r="J461">
        <v>3.9</v>
      </c>
      <c r="K461" t="s">
        <v>47</v>
      </c>
      <c r="L461">
        <v>10</v>
      </c>
      <c r="M461" t="str">
        <f t="shared" si="21"/>
        <v>October</v>
      </c>
      <c r="N461">
        <v>2025</v>
      </c>
      <c r="O461">
        <f t="shared" si="22"/>
        <v>12175.8</v>
      </c>
      <c r="P461">
        <f t="shared" si="23"/>
        <v>5218.2000000000007</v>
      </c>
    </row>
    <row r="462" spans="1:16">
      <c r="A462">
        <v>461</v>
      </c>
      <c r="B462" t="s">
        <v>24</v>
      </c>
      <c r="C462" t="s">
        <v>25</v>
      </c>
      <c r="D462" t="s">
        <v>60</v>
      </c>
      <c r="E462" t="s">
        <v>33</v>
      </c>
      <c r="F462" t="s">
        <v>34</v>
      </c>
      <c r="G462">
        <v>561</v>
      </c>
      <c r="H462">
        <v>7</v>
      </c>
      <c r="I462">
        <v>3927</v>
      </c>
      <c r="J462">
        <v>3.8</v>
      </c>
      <c r="K462" t="s">
        <v>47</v>
      </c>
      <c r="L462">
        <v>7</v>
      </c>
      <c r="M462" t="str">
        <f t="shared" si="21"/>
        <v>July</v>
      </c>
      <c r="N462">
        <v>2025</v>
      </c>
      <c r="O462">
        <f t="shared" si="22"/>
        <v>2748.8999999999996</v>
      </c>
      <c r="P462">
        <f t="shared" si="23"/>
        <v>1178.1000000000004</v>
      </c>
    </row>
    <row r="463" spans="1:16">
      <c r="A463">
        <v>462</v>
      </c>
      <c r="B463" t="s">
        <v>58</v>
      </c>
      <c r="C463" t="s">
        <v>192</v>
      </c>
      <c r="D463" t="s">
        <v>15</v>
      </c>
      <c r="E463" t="s">
        <v>50</v>
      </c>
      <c r="F463" t="s">
        <v>39</v>
      </c>
      <c r="G463">
        <v>772</v>
      </c>
      <c r="H463">
        <v>14</v>
      </c>
      <c r="I463">
        <v>10808</v>
      </c>
      <c r="J463">
        <v>4.5</v>
      </c>
      <c r="K463" t="s">
        <v>47</v>
      </c>
      <c r="L463">
        <v>3</v>
      </c>
      <c r="M463" t="str">
        <f t="shared" si="21"/>
        <v>March</v>
      </c>
      <c r="N463">
        <v>2025</v>
      </c>
      <c r="O463">
        <f t="shared" si="22"/>
        <v>7565.5999999999995</v>
      </c>
      <c r="P463">
        <f t="shared" si="23"/>
        <v>3242.4000000000005</v>
      </c>
    </row>
    <row r="464" spans="1:16">
      <c r="A464">
        <v>463</v>
      </c>
      <c r="B464" t="s">
        <v>44</v>
      </c>
      <c r="C464" t="s">
        <v>53</v>
      </c>
      <c r="D464" t="s">
        <v>57</v>
      </c>
      <c r="E464" t="s">
        <v>33</v>
      </c>
      <c r="F464" t="s">
        <v>27</v>
      </c>
      <c r="G464">
        <v>766</v>
      </c>
      <c r="H464">
        <v>4</v>
      </c>
      <c r="I464">
        <v>3064</v>
      </c>
      <c r="J464">
        <v>3.8</v>
      </c>
      <c r="K464" t="s">
        <v>18</v>
      </c>
      <c r="L464">
        <v>1</v>
      </c>
      <c r="M464" t="str">
        <f t="shared" si="21"/>
        <v>January</v>
      </c>
      <c r="N464">
        <v>2025</v>
      </c>
      <c r="O464">
        <f t="shared" si="22"/>
        <v>2144.7999999999997</v>
      </c>
      <c r="P464">
        <f t="shared" si="23"/>
        <v>919.20000000000027</v>
      </c>
    </row>
    <row r="465" spans="1:16">
      <c r="A465">
        <v>464</v>
      </c>
      <c r="B465" t="s">
        <v>64</v>
      </c>
      <c r="C465" t="s">
        <v>150</v>
      </c>
      <c r="D465" t="s">
        <v>57</v>
      </c>
      <c r="E465" t="s">
        <v>16</v>
      </c>
      <c r="F465" t="s">
        <v>63</v>
      </c>
      <c r="G465">
        <v>1288</v>
      </c>
      <c r="H465">
        <v>14</v>
      </c>
      <c r="I465">
        <v>18032</v>
      </c>
      <c r="J465">
        <v>3.2</v>
      </c>
      <c r="K465" t="s">
        <v>18</v>
      </c>
      <c r="L465">
        <v>1</v>
      </c>
      <c r="M465" t="str">
        <f t="shared" si="21"/>
        <v>January</v>
      </c>
      <c r="N465">
        <v>2025</v>
      </c>
      <c r="O465">
        <f t="shared" si="22"/>
        <v>12622.4</v>
      </c>
      <c r="P465">
        <f t="shared" si="23"/>
        <v>5409.6</v>
      </c>
    </row>
    <row r="466" spans="1:16">
      <c r="A466">
        <v>465</v>
      </c>
      <c r="B466" t="s">
        <v>13</v>
      </c>
      <c r="C466" t="s">
        <v>229</v>
      </c>
      <c r="D466" t="s">
        <v>38</v>
      </c>
      <c r="E466" t="s">
        <v>33</v>
      </c>
      <c r="F466" t="s">
        <v>17</v>
      </c>
      <c r="G466">
        <v>473</v>
      </c>
      <c r="H466">
        <v>12</v>
      </c>
      <c r="I466">
        <v>5676</v>
      </c>
      <c r="J466">
        <v>4</v>
      </c>
      <c r="K466" t="s">
        <v>28</v>
      </c>
      <c r="L466">
        <v>8</v>
      </c>
      <c r="M466" t="str">
        <f t="shared" si="21"/>
        <v>August</v>
      </c>
      <c r="N466">
        <v>2025</v>
      </c>
      <c r="O466">
        <f t="shared" si="22"/>
        <v>3973.2</v>
      </c>
      <c r="P466">
        <f t="shared" si="23"/>
        <v>1702.8000000000002</v>
      </c>
    </row>
    <row r="467" spans="1:16">
      <c r="A467">
        <v>466</v>
      </c>
      <c r="B467" t="s">
        <v>44</v>
      </c>
      <c r="C467" t="s">
        <v>230</v>
      </c>
      <c r="D467" t="s">
        <v>76</v>
      </c>
      <c r="E467" t="s">
        <v>33</v>
      </c>
      <c r="F467" t="s">
        <v>39</v>
      </c>
      <c r="G467">
        <v>987</v>
      </c>
      <c r="H467">
        <v>7</v>
      </c>
      <c r="I467">
        <v>6909</v>
      </c>
      <c r="J467">
        <v>4.9000000000000004</v>
      </c>
      <c r="K467" t="s">
        <v>35</v>
      </c>
      <c r="L467">
        <v>7</v>
      </c>
      <c r="M467" t="str">
        <f t="shared" si="21"/>
        <v>July</v>
      </c>
      <c r="N467">
        <v>2025</v>
      </c>
      <c r="O467">
        <f t="shared" si="22"/>
        <v>4836.2999999999993</v>
      </c>
      <c r="P467">
        <f t="shared" si="23"/>
        <v>2072.7000000000007</v>
      </c>
    </row>
    <row r="468" spans="1:16">
      <c r="A468">
        <v>467</v>
      </c>
      <c r="B468" t="s">
        <v>69</v>
      </c>
      <c r="C468" t="s">
        <v>227</v>
      </c>
      <c r="D468" t="s">
        <v>30</v>
      </c>
      <c r="E468" t="s">
        <v>33</v>
      </c>
      <c r="F468" t="s">
        <v>39</v>
      </c>
      <c r="G468">
        <v>1148</v>
      </c>
      <c r="H468">
        <v>10</v>
      </c>
      <c r="I468">
        <v>11480</v>
      </c>
      <c r="J468">
        <v>5</v>
      </c>
      <c r="K468" t="s">
        <v>35</v>
      </c>
      <c r="L468">
        <v>11</v>
      </c>
      <c r="M468" t="str">
        <f t="shared" si="21"/>
        <v>November</v>
      </c>
      <c r="N468">
        <v>2025</v>
      </c>
      <c r="O468">
        <f t="shared" si="22"/>
        <v>8035.9999999999991</v>
      </c>
      <c r="P468">
        <f t="shared" si="23"/>
        <v>3444.0000000000009</v>
      </c>
    </row>
    <row r="469" spans="1:16">
      <c r="A469">
        <v>468</v>
      </c>
      <c r="B469" t="s">
        <v>13</v>
      </c>
      <c r="C469" t="s">
        <v>231</v>
      </c>
      <c r="D469" t="s">
        <v>26</v>
      </c>
      <c r="E469" t="s">
        <v>43</v>
      </c>
      <c r="F469" t="s">
        <v>27</v>
      </c>
      <c r="G469">
        <v>1024</v>
      </c>
      <c r="H469">
        <v>2</v>
      </c>
      <c r="I469">
        <v>2048</v>
      </c>
      <c r="J469">
        <v>4.3</v>
      </c>
      <c r="K469" t="s">
        <v>23</v>
      </c>
      <c r="L469">
        <v>10</v>
      </c>
      <c r="M469" t="str">
        <f t="shared" si="21"/>
        <v>October</v>
      </c>
      <c r="N469">
        <v>2025</v>
      </c>
      <c r="O469">
        <f t="shared" si="22"/>
        <v>1433.6</v>
      </c>
      <c r="P469">
        <f t="shared" si="23"/>
        <v>614.40000000000009</v>
      </c>
    </row>
    <row r="470" spans="1:16">
      <c r="A470">
        <v>469</v>
      </c>
      <c r="B470" t="s">
        <v>64</v>
      </c>
      <c r="C470" t="s">
        <v>232</v>
      </c>
      <c r="D470" t="s">
        <v>38</v>
      </c>
      <c r="E470" t="s">
        <v>16</v>
      </c>
      <c r="F470" t="s">
        <v>27</v>
      </c>
      <c r="G470">
        <v>1342</v>
      </c>
      <c r="H470">
        <v>11</v>
      </c>
      <c r="I470">
        <v>14762</v>
      </c>
      <c r="J470">
        <v>3.2</v>
      </c>
      <c r="K470" t="s">
        <v>28</v>
      </c>
      <c r="L470">
        <v>5</v>
      </c>
      <c r="M470" t="str">
        <f t="shared" si="21"/>
        <v>May</v>
      </c>
      <c r="N470">
        <v>2025</v>
      </c>
      <c r="O470">
        <f t="shared" si="22"/>
        <v>10333.4</v>
      </c>
      <c r="P470">
        <f t="shared" si="23"/>
        <v>4428.6000000000004</v>
      </c>
    </row>
    <row r="471" spans="1:16">
      <c r="A471">
        <v>470</v>
      </c>
      <c r="B471" t="s">
        <v>40</v>
      </c>
      <c r="C471" t="s">
        <v>196</v>
      </c>
      <c r="D471" t="s">
        <v>30</v>
      </c>
      <c r="E471" t="s">
        <v>50</v>
      </c>
      <c r="F471" t="s">
        <v>27</v>
      </c>
      <c r="G471">
        <v>592</v>
      </c>
      <c r="H471">
        <v>18</v>
      </c>
      <c r="I471">
        <v>10656</v>
      </c>
      <c r="J471">
        <v>3.6</v>
      </c>
      <c r="K471" t="s">
        <v>18</v>
      </c>
      <c r="L471">
        <v>9</v>
      </c>
      <c r="M471" t="str">
        <f t="shared" si="21"/>
        <v>September</v>
      </c>
      <c r="N471">
        <v>2025</v>
      </c>
      <c r="O471">
        <f t="shared" si="22"/>
        <v>7459.2</v>
      </c>
      <c r="P471">
        <f t="shared" si="23"/>
        <v>3196.8</v>
      </c>
    </row>
    <row r="472" spans="1:16">
      <c r="A472">
        <v>471</v>
      </c>
      <c r="B472" t="s">
        <v>58</v>
      </c>
      <c r="C472" t="s">
        <v>158</v>
      </c>
      <c r="D472" t="s">
        <v>21</v>
      </c>
      <c r="E472" t="s">
        <v>43</v>
      </c>
      <c r="F472" t="s">
        <v>63</v>
      </c>
      <c r="G472">
        <v>690</v>
      </c>
      <c r="H472">
        <v>15</v>
      </c>
      <c r="I472">
        <v>10350</v>
      </c>
      <c r="J472">
        <v>3.6</v>
      </c>
      <c r="K472" t="s">
        <v>18</v>
      </c>
      <c r="L472">
        <v>9</v>
      </c>
      <c r="M472" t="str">
        <f t="shared" si="21"/>
        <v>September</v>
      </c>
      <c r="N472">
        <v>2025</v>
      </c>
      <c r="O472">
        <f t="shared" si="22"/>
        <v>7244.9999999999991</v>
      </c>
      <c r="P472">
        <f t="shared" si="23"/>
        <v>3105.0000000000009</v>
      </c>
    </row>
    <row r="473" spans="1:16">
      <c r="A473">
        <v>472</v>
      </c>
      <c r="B473" t="s">
        <v>58</v>
      </c>
      <c r="C473" t="s">
        <v>148</v>
      </c>
      <c r="D473" t="s">
        <v>38</v>
      </c>
      <c r="E473" t="s">
        <v>50</v>
      </c>
      <c r="F473" t="s">
        <v>27</v>
      </c>
      <c r="G473">
        <v>1439</v>
      </c>
      <c r="H473">
        <v>12</v>
      </c>
      <c r="I473">
        <v>17268</v>
      </c>
      <c r="J473">
        <v>4.3</v>
      </c>
      <c r="K473" t="s">
        <v>18</v>
      </c>
      <c r="L473">
        <v>10</v>
      </c>
      <c r="M473" t="str">
        <f t="shared" si="21"/>
        <v>October</v>
      </c>
      <c r="N473">
        <v>2025</v>
      </c>
      <c r="O473">
        <f t="shared" si="22"/>
        <v>12087.599999999999</v>
      </c>
      <c r="P473">
        <f t="shared" si="23"/>
        <v>5180.4000000000015</v>
      </c>
    </row>
    <row r="474" spans="1:16">
      <c r="A474">
        <v>473</v>
      </c>
      <c r="B474" t="s">
        <v>36</v>
      </c>
      <c r="C474" t="s">
        <v>86</v>
      </c>
      <c r="D474" t="s">
        <v>57</v>
      </c>
      <c r="E474" t="s">
        <v>16</v>
      </c>
      <c r="F474" t="s">
        <v>22</v>
      </c>
      <c r="G474">
        <v>768</v>
      </c>
      <c r="H474">
        <v>9</v>
      </c>
      <c r="I474">
        <v>6912</v>
      </c>
      <c r="J474">
        <v>4.7</v>
      </c>
      <c r="K474" t="s">
        <v>47</v>
      </c>
      <c r="L474">
        <v>8</v>
      </c>
      <c r="M474" t="str">
        <f t="shared" si="21"/>
        <v>August</v>
      </c>
      <c r="N474">
        <v>2025</v>
      </c>
      <c r="O474">
        <f t="shared" si="22"/>
        <v>4838.3999999999996</v>
      </c>
      <c r="P474">
        <f t="shared" si="23"/>
        <v>2073.6000000000004</v>
      </c>
    </row>
    <row r="475" spans="1:16">
      <c r="A475">
        <v>474</v>
      </c>
      <c r="B475" t="s">
        <v>40</v>
      </c>
      <c r="C475" t="s">
        <v>95</v>
      </c>
      <c r="D475" t="s">
        <v>57</v>
      </c>
      <c r="E475" t="s">
        <v>16</v>
      </c>
      <c r="F475" t="s">
        <v>63</v>
      </c>
      <c r="G475">
        <v>1475</v>
      </c>
      <c r="H475">
        <v>7</v>
      </c>
      <c r="I475">
        <v>10325</v>
      </c>
      <c r="J475">
        <v>4.2</v>
      </c>
      <c r="K475" t="s">
        <v>18</v>
      </c>
      <c r="L475">
        <v>4</v>
      </c>
      <c r="M475" t="str">
        <f t="shared" si="21"/>
        <v>April</v>
      </c>
      <c r="N475">
        <v>2025</v>
      </c>
      <c r="O475">
        <f t="shared" si="22"/>
        <v>7227.4999999999991</v>
      </c>
      <c r="P475">
        <f t="shared" si="23"/>
        <v>3097.5000000000009</v>
      </c>
    </row>
    <row r="476" spans="1:16">
      <c r="A476">
        <v>475</v>
      </c>
      <c r="B476" t="s">
        <v>40</v>
      </c>
      <c r="C476" t="s">
        <v>95</v>
      </c>
      <c r="D476" t="s">
        <v>42</v>
      </c>
      <c r="E476" t="s">
        <v>43</v>
      </c>
      <c r="F476" t="s">
        <v>34</v>
      </c>
      <c r="G476">
        <v>413</v>
      </c>
      <c r="H476">
        <v>13</v>
      </c>
      <c r="I476">
        <v>5369</v>
      </c>
      <c r="J476">
        <v>4.5999999999999996</v>
      </c>
      <c r="K476" t="s">
        <v>23</v>
      </c>
      <c r="L476">
        <v>12</v>
      </c>
      <c r="M476" t="str">
        <f t="shared" si="21"/>
        <v>December</v>
      </c>
      <c r="N476">
        <v>2025</v>
      </c>
      <c r="O476">
        <f t="shared" si="22"/>
        <v>3758.2999999999997</v>
      </c>
      <c r="P476">
        <f t="shared" si="23"/>
        <v>1610.7000000000003</v>
      </c>
    </row>
    <row r="477" spans="1:16">
      <c r="A477">
        <v>476</v>
      </c>
      <c r="B477" t="s">
        <v>58</v>
      </c>
      <c r="C477" t="s">
        <v>197</v>
      </c>
      <c r="D477" t="s">
        <v>57</v>
      </c>
      <c r="E477" t="s">
        <v>50</v>
      </c>
      <c r="F477" t="s">
        <v>17</v>
      </c>
      <c r="G477">
        <v>506</v>
      </c>
      <c r="H477">
        <v>5</v>
      </c>
      <c r="I477">
        <v>2530</v>
      </c>
      <c r="J477">
        <v>3.6</v>
      </c>
      <c r="K477" t="s">
        <v>35</v>
      </c>
      <c r="L477">
        <v>3</v>
      </c>
      <c r="M477" t="str">
        <f t="shared" si="21"/>
        <v>March</v>
      </c>
      <c r="N477">
        <v>2025</v>
      </c>
      <c r="O477">
        <f t="shared" si="22"/>
        <v>1771</v>
      </c>
      <c r="P477">
        <f t="shared" si="23"/>
        <v>759</v>
      </c>
    </row>
    <row r="478" spans="1:16">
      <c r="A478">
        <v>477</v>
      </c>
      <c r="B478" t="s">
        <v>44</v>
      </c>
      <c r="C478" t="s">
        <v>136</v>
      </c>
      <c r="D478" t="s">
        <v>38</v>
      </c>
      <c r="E478" t="s">
        <v>16</v>
      </c>
      <c r="F478" t="s">
        <v>63</v>
      </c>
      <c r="G478">
        <v>910</v>
      </c>
      <c r="H478">
        <v>7</v>
      </c>
      <c r="I478">
        <v>6370</v>
      </c>
      <c r="J478">
        <v>3.8</v>
      </c>
      <c r="K478" t="s">
        <v>47</v>
      </c>
      <c r="L478">
        <v>7</v>
      </c>
      <c r="M478" t="str">
        <f t="shared" si="21"/>
        <v>July</v>
      </c>
      <c r="N478">
        <v>2025</v>
      </c>
      <c r="O478">
        <f t="shared" si="22"/>
        <v>4459</v>
      </c>
      <c r="P478">
        <f t="shared" si="23"/>
        <v>1911</v>
      </c>
    </row>
    <row r="479" spans="1:16">
      <c r="A479">
        <v>478</v>
      </c>
      <c r="B479" t="s">
        <v>24</v>
      </c>
      <c r="C479" t="s">
        <v>233</v>
      </c>
      <c r="D479" t="s">
        <v>30</v>
      </c>
      <c r="E479" t="s">
        <v>33</v>
      </c>
      <c r="F479" t="s">
        <v>63</v>
      </c>
      <c r="G479">
        <v>1022</v>
      </c>
      <c r="H479">
        <v>17</v>
      </c>
      <c r="I479">
        <v>17374</v>
      </c>
      <c r="J479">
        <v>3.1</v>
      </c>
      <c r="K479" t="s">
        <v>47</v>
      </c>
      <c r="L479">
        <v>3</v>
      </c>
      <c r="M479" t="str">
        <f t="shared" si="21"/>
        <v>March</v>
      </c>
      <c r="N479">
        <v>2025</v>
      </c>
      <c r="O479">
        <f t="shared" si="22"/>
        <v>12161.8</v>
      </c>
      <c r="P479">
        <f t="shared" si="23"/>
        <v>5212.2000000000007</v>
      </c>
    </row>
    <row r="480" spans="1:16">
      <c r="A480">
        <v>479</v>
      </c>
      <c r="B480" t="s">
        <v>19</v>
      </c>
      <c r="C480" t="s">
        <v>126</v>
      </c>
      <c r="D480" t="s">
        <v>15</v>
      </c>
      <c r="E480" t="s">
        <v>43</v>
      </c>
      <c r="F480" t="s">
        <v>63</v>
      </c>
      <c r="G480">
        <v>729</v>
      </c>
      <c r="H480">
        <v>6</v>
      </c>
      <c r="I480">
        <v>4374</v>
      </c>
      <c r="J480">
        <v>4.4000000000000004</v>
      </c>
      <c r="K480" t="s">
        <v>35</v>
      </c>
      <c r="L480">
        <v>5</v>
      </c>
      <c r="M480" t="str">
        <f t="shared" si="21"/>
        <v>May</v>
      </c>
      <c r="N480">
        <v>2025</v>
      </c>
      <c r="O480">
        <f t="shared" si="22"/>
        <v>3061.7999999999997</v>
      </c>
      <c r="P480">
        <f t="shared" si="23"/>
        <v>1312.2000000000003</v>
      </c>
    </row>
    <row r="481" spans="1:16">
      <c r="A481">
        <v>480</v>
      </c>
      <c r="B481" t="s">
        <v>40</v>
      </c>
      <c r="C481" t="s">
        <v>196</v>
      </c>
      <c r="D481" t="s">
        <v>30</v>
      </c>
      <c r="E481" t="s">
        <v>50</v>
      </c>
      <c r="F481" t="s">
        <v>17</v>
      </c>
      <c r="G481">
        <v>496</v>
      </c>
      <c r="H481">
        <v>18</v>
      </c>
      <c r="I481">
        <v>8928</v>
      </c>
      <c r="J481">
        <v>4.2</v>
      </c>
      <c r="K481" t="s">
        <v>23</v>
      </c>
      <c r="L481">
        <v>11</v>
      </c>
      <c r="M481" t="str">
        <f t="shared" si="21"/>
        <v>November</v>
      </c>
      <c r="N481">
        <v>2025</v>
      </c>
      <c r="O481">
        <f t="shared" si="22"/>
        <v>6249.5999999999995</v>
      </c>
      <c r="P481">
        <f t="shared" si="23"/>
        <v>2678.4000000000005</v>
      </c>
    </row>
    <row r="482" spans="1:16">
      <c r="A482">
        <v>481</v>
      </c>
      <c r="B482" t="s">
        <v>24</v>
      </c>
      <c r="C482" t="s">
        <v>133</v>
      </c>
      <c r="D482" t="s">
        <v>38</v>
      </c>
      <c r="E482" t="s">
        <v>43</v>
      </c>
      <c r="F482" t="s">
        <v>17</v>
      </c>
      <c r="G482">
        <v>709</v>
      </c>
      <c r="H482">
        <v>5</v>
      </c>
      <c r="I482">
        <v>3545</v>
      </c>
      <c r="J482">
        <v>5</v>
      </c>
      <c r="K482" t="s">
        <v>23</v>
      </c>
      <c r="L482">
        <v>1</v>
      </c>
      <c r="M482" t="str">
        <f t="shared" si="21"/>
        <v>January</v>
      </c>
      <c r="N482">
        <v>2025</v>
      </c>
      <c r="O482">
        <f t="shared" si="22"/>
        <v>2481.5</v>
      </c>
      <c r="P482">
        <f t="shared" si="23"/>
        <v>1063.5</v>
      </c>
    </row>
    <row r="483" spans="1:16">
      <c r="A483">
        <v>482</v>
      </c>
      <c r="B483" t="s">
        <v>24</v>
      </c>
      <c r="C483" t="s">
        <v>93</v>
      </c>
      <c r="D483" t="s">
        <v>42</v>
      </c>
      <c r="E483" t="s">
        <v>50</v>
      </c>
      <c r="F483" t="s">
        <v>34</v>
      </c>
      <c r="G483">
        <v>1104</v>
      </c>
      <c r="H483">
        <v>8</v>
      </c>
      <c r="I483">
        <v>8832</v>
      </c>
      <c r="J483">
        <v>4.8</v>
      </c>
      <c r="K483" t="s">
        <v>23</v>
      </c>
      <c r="L483">
        <v>10</v>
      </c>
      <c r="M483" t="str">
        <f t="shared" si="21"/>
        <v>October</v>
      </c>
      <c r="N483">
        <v>2025</v>
      </c>
      <c r="O483">
        <f t="shared" si="22"/>
        <v>6182.4</v>
      </c>
      <c r="P483">
        <f t="shared" si="23"/>
        <v>2649.6000000000004</v>
      </c>
    </row>
    <row r="484" spans="1:16">
      <c r="A484">
        <v>483</v>
      </c>
      <c r="B484" t="s">
        <v>19</v>
      </c>
      <c r="C484" t="s">
        <v>156</v>
      </c>
      <c r="D484" t="s">
        <v>30</v>
      </c>
      <c r="E484" t="s">
        <v>43</v>
      </c>
      <c r="F484" t="s">
        <v>34</v>
      </c>
      <c r="G484">
        <v>1058</v>
      </c>
      <c r="H484">
        <v>11</v>
      </c>
      <c r="I484">
        <v>11638</v>
      </c>
      <c r="J484">
        <v>4.5</v>
      </c>
      <c r="K484" t="s">
        <v>23</v>
      </c>
      <c r="L484">
        <v>4</v>
      </c>
      <c r="M484" t="str">
        <f t="shared" si="21"/>
        <v>April</v>
      </c>
      <c r="N484">
        <v>2025</v>
      </c>
      <c r="O484">
        <f t="shared" si="22"/>
        <v>8146.5999999999995</v>
      </c>
      <c r="P484">
        <f t="shared" si="23"/>
        <v>3491.4000000000005</v>
      </c>
    </row>
    <row r="485" spans="1:16">
      <c r="A485">
        <v>484</v>
      </c>
      <c r="B485" t="s">
        <v>36</v>
      </c>
      <c r="C485" t="s">
        <v>234</v>
      </c>
      <c r="D485" t="s">
        <v>32</v>
      </c>
      <c r="E485" t="s">
        <v>33</v>
      </c>
      <c r="F485" t="s">
        <v>63</v>
      </c>
      <c r="G485">
        <v>544</v>
      </c>
      <c r="H485">
        <v>19</v>
      </c>
      <c r="I485">
        <v>10336</v>
      </c>
      <c r="J485">
        <v>4.7</v>
      </c>
      <c r="K485" t="s">
        <v>23</v>
      </c>
      <c r="L485">
        <v>8</v>
      </c>
      <c r="M485" t="str">
        <f t="shared" si="21"/>
        <v>August</v>
      </c>
      <c r="N485">
        <v>2025</v>
      </c>
      <c r="O485">
        <f t="shared" si="22"/>
        <v>7235.2</v>
      </c>
      <c r="P485">
        <f t="shared" si="23"/>
        <v>3100.8</v>
      </c>
    </row>
    <row r="486" spans="1:16">
      <c r="A486">
        <v>485</v>
      </c>
      <c r="B486" t="s">
        <v>24</v>
      </c>
      <c r="C486" t="s">
        <v>179</v>
      </c>
      <c r="D486" t="s">
        <v>42</v>
      </c>
      <c r="E486" t="s">
        <v>16</v>
      </c>
      <c r="F486" t="s">
        <v>39</v>
      </c>
      <c r="G486">
        <v>529</v>
      </c>
      <c r="H486">
        <v>17</v>
      </c>
      <c r="I486">
        <v>8993</v>
      </c>
      <c r="J486">
        <v>4.0999999999999996</v>
      </c>
      <c r="K486" t="s">
        <v>23</v>
      </c>
      <c r="L486">
        <v>10</v>
      </c>
      <c r="M486" t="str">
        <f t="shared" si="21"/>
        <v>October</v>
      </c>
      <c r="N486">
        <v>2025</v>
      </c>
      <c r="O486">
        <f t="shared" si="22"/>
        <v>6295.0999999999995</v>
      </c>
      <c r="P486">
        <f t="shared" si="23"/>
        <v>2697.9000000000005</v>
      </c>
    </row>
    <row r="487" spans="1:16">
      <c r="A487">
        <v>486</v>
      </c>
      <c r="B487" t="s">
        <v>58</v>
      </c>
      <c r="C487" t="s">
        <v>202</v>
      </c>
      <c r="D487" t="s">
        <v>30</v>
      </c>
      <c r="E487" t="s">
        <v>33</v>
      </c>
      <c r="F487" t="s">
        <v>63</v>
      </c>
      <c r="G487">
        <v>433</v>
      </c>
      <c r="H487">
        <v>10</v>
      </c>
      <c r="I487">
        <v>4330</v>
      </c>
      <c r="J487">
        <v>4.0999999999999996</v>
      </c>
      <c r="K487" t="s">
        <v>18</v>
      </c>
      <c r="L487">
        <v>6</v>
      </c>
      <c r="M487" t="str">
        <f t="shared" si="21"/>
        <v>June</v>
      </c>
      <c r="N487">
        <v>2025</v>
      </c>
      <c r="O487">
        <f t="shared" si="22"/>
        <v>3031</v>
      </c>
      <c r="P487">
        <f t="shared" si="23"/>
        <v>1299</v>
      </c>
    </row>
    <row r="488" spans="1:16">
      <c r="A488">
        <v>487</v>
      </c>
      <c r="B488" t="s">
        <v>40</v>
      </c>
      <c r="C488" t="s">
        <v>95</v>
      </c>
      <c r="D488" t="s">
        <v>57</v>
      </c>
      <c r="E488" t="s">
        <v>16</v>
      </c>
      <c r="F488" t="s">
        <v>39</v>
      </c>
      <c r="G488">
        <v>910</v>
      </c>
      <c r="H488">
        <v>3</v>
      </c>
      <c r="I488">
        <v>2730</v>
      </c>
      <c r="J488">
        <v>3.8</v>
      </c>
      <c r="K488" t="s">
        <v>47</v>
      </c>
      <c r="L488">
        <v>3</v>
      </c>
      <c r="M488" t="str">
        <f t="shared" si="21"/>
        <v>March</v>
      </c>
      <c r="N488">
        <v>2025</v>
      </c>
      <c r="O488">
        <f t="shared" si="22"/>
        <v>1910.9999999999998</v>
      </c>
      <c r="P488">
        <f t="shared" si="23"/>
        <v>819.00000000000023</v>
      </c>
    </row>
    <row r="489" spans="1:16">
      <c r="A489">
        <v>488</v>
      </c>
      <c r="B489" t="s">
        <v>13</v>
      </c>
      <c r="C489" t="s">
        <v>52</v>
      </c>
      <c r="D489" t="s">
        <v>32</v>
      </c>
      <c r="E489" t="s">
        <v>16</v>
      </c>
      <c r="F489" t="s">
        <v>27</v>
      </c>
      <c r="G489">
        <v>655</v>
      </c>
      <c r="H489">
        <v>16</v>
      </c>
      <c r="I489">
        <v>10480</v>
      </c>
      <c r="J489">
        <v>3.5</v>
      </c>
      <c r="K489" t="s">
        <v>35</v>
      </c>
      <c r="L489">
        <v>6</v>
      </c>
      <c r="M489" t="str">
        <f t="shared" si="21"/>
        <v>June</v>
      </c>
      <c r="N489">
        <v>2025</v>
      </c>
      <c r="O489">
        <f t="shared" si="22"/>
        <v>7335.9999999999991</v>
      </c>
      <c r="P489">
        <f t="shared" si="23"/>
        <v>3144.0000000000009</v>
      </c>
    </row>
    <row r="490" spans="1:16">
      <c r="A490">
        <v>489</v>
      </c>
      <c r="B490" t="s">
        <v>36</v>
      </c>
      <c r="C490" t="s">
        <v>170</v>
      </c>
      <c r="D490" t="s">
        <v>57</v>
      </c>
      <c r="E490" t="s">
        <v>43</v>
      </c>
      <c r="F490" t="s">
        <v>34</v>
      </c>
      <c r="G490">
        <v>381</v>
      </c>
      <c r="H490">
        <v>17</v>
      </c>
      <c r="I490">
        <v>6477</v>
      </c>
      <c r="J490">
        <v>3.2</v>
      </c>
      <c r="K490" t="s">
        <v>23</v>
      </c>
      <c r="L490">
        <v>6</v>
      </c>
      <c r="M490" t="str">
        <f t="shared" si="21"/>
        <v>June</v>
      </c>
      <c r="N490">
        <v>2025</v>
      </c>
      <c r="O490">
        <f t="shared" si="22"/>
        <v>4533.8999999999996</v>
      </c>
      <c r="P490">
        <f t="shared" si="23"/>
        <v>1943.1000000000004</v>
      </c>
    </row>
    <row r="491" spans="1:16">
      <c r="A491">
        <v>490</v>
      </c>
      <c r="B491" t="s">
        <v>58</v>
      </c>
      <c r="C491" t="s">
        <v>62</v>
      </c>
      <c r="D491" t="s">
        <v>76</v>
      </c>
      <c r="E491" t="s">
        <v>50</v>
      </c>
      <c r="F491" t="s">
        <v>39</v>
      </c>
      <c r="G491">
        <v>681</v>
      </c>
      <c r="H491">
        <v>2</v>
      </c>
      <c r="I491">
        <v>1362</v>
      </c>
      <c r="J491">
        <v>3.2</v>
      </c>
      <c r="K491" t="s">
        <v>47</v>
      </c>
      <c r="L491">
        <v>5</v>
      </c>
      <c r="M491" t="str">
        <f t="shared" si="21"/>
        <v>May</v>
      </c>
      <c r="N491">
        <v>2025</v>
      </c>
      <c r="O491">
        <f t="shared" si="22"/>
        <v>953.4</v>
      </c>
      <c r="P491">
        <f t="shared" si="23"/>
        <v>408.6</v>
      </c>
    </row>
    <row r="492" spans="1:16">
      <c r="A492">
        <v>491</v>
      </c>
      <c r="B492" t="s">
        <v>24</v>
      </c>
      <c r="C492" t="s">
        <v>93</v>
      </c>
      <c r="D492" t="s">
        <v>57</v>
      </c>
      <c r="E492" t="s">
        <v>16</v>
      </c>
      <c r="F492" t="s">
        <v>63</v>
      </c>
      <c r="G492">
        <v>670</v>
      </c>
      <c r="H492">
        <v>13</v>
      </c>
      <c r="I492">
        <v>8710</v>
      </c>
      <c r="J492">
        <v>3.5</v>
      </c>
      <c r="K492" t="s">
        <v>35</v>
      </c>
      <c r="L492">
        <v>5</v>
      </c>
      <c r="M492" t="str">
        <f t="shared" si="21"/>
        <v>May</v>
      </c>
      <c r="N492">
        <v>2025</v>
      </c>
      <c r="O492">
        <f t="shared" si="22"/>
        <v>6097</v>
      </c>
      <c r="P492">
        <f t="shared" si="23"/>
        <v>2613</v>
      </c>
    </row>
    <row r="493" spans="1:16">
      <c r="A493">
        <v>492</v>
      </c>
      <c r="B493" t="s">
        <v>69</v>
      </c>
      <c r="C493" t="s">
        <v>96</v>
      </c>
      <c r="D493" t="s">
        <v>30</v>
      </c>
      <c r="E493" t="s">
        <v>50</v>
      </c>
      <c r="F493" t="s">
        <v>39</v>
      </c>
      <c r="G493">
        <v>531</v>
      </c>
      <c r="H493">
        <v>14</v>
      </c>
      <c r="I493">
        <v>7434</v>
      </c>
      <c r="J493">
        <v>4</v>
      </c>
      <c r="K493" t="s">
        <v>28</v>
      </c>
      <c r="L493">
        <v>9</v>
      </c>
      <c r="M493" t="str">
        <f t="shared" si="21"/>
        <v>September</v>
      </c>
      <c r="N493">
        <v>2025</v>
      </c>
      <c r="O493">
        <f t="shared" si="22"/>
        <v>5203.7999999999993</v>
      </c>
      <c r="P493">
        <f t="shared" si="23"/>
        <v>2230.2000000000007</v>
      </c>
    </row>
    <row r="494" spans="1:16">
      <c r="A494">
        <v>493</v>
      </c>
      <c r="B494" t="s">
        <v>19</v>
      </c>
      <c r="C494" t="s">
        <v>193</v>
      </c>
      <c r="D494" t="s">
        <v>30</v>
      </c>
      <c r="E494" t="s">
        <v>16</v>
      </c>
      <c r="F494" t="s">
        <v>27</v>
      </c>
      <c r="G494">
        <v>1488</v>
      </c>
      <c r="H494">
        <v>6</v>
      </c>
      <c r="I494">
        <v>8928</v>
      </c>
      <c r="J494">
        <v>4</v>
      </c>
      <c r="K494" t="s">
        <v>23</v>
      </c>
      <c r="L494">
        <v>6</v>
      </c>
      <c r="M494" t="str">
        <f t="shared" si="21"/>
        <v>June</v>
      </c>
      <c r="N494">
        <v>2025</v>
      </c>
      <c r="O494">
        <f t="shared" si="22"/>
        <v>6249.5999999999995</v>
      </c>
      <c r="P494">
        <f t="shared" si="23"/>
        <v>2678.4000000000005</v>
      </c>
    </row>
    <row r="495" spans="1:16">
      <c r="A495">
        <v>494</v>
      </c>
      <c r="B495" t="s">
        <v>19</v>
      </c>
      <c r="C495" t="s">
        <v>20</v>
      </c>
      <c r="D495" t="s">
        <v>26</v>
      </c>
      <c r="E495" t="s">
        <v>50</v>
      </c>
      <c r="F495" t="s">
        <v>22</v>
      </c>
      <c r="G495">
        <v>1483</v>
      </c>
      <c r="H495">
        <v>17</v>
      </c>
      <c r="I495">
        <v>25211</v>
      </c>
      <c r="J495">
        <v>4.3</v>
      </c>
      <c r="K495" t="s">
        <v>23</v>
      </c>
      <c r="L495">
        <v>6</v>
      </c>
      <c r="M495" t="str">
        <f t="shared" si="21"/>
        <v>June</v>
      </c>
      <c r="N495">
        <v>2025</v>
      </c>
      <c r="O495">
        <f t="shared" si="22"/>
        <v>17647.699999999997</v>
      </c>
      <c r="P495">
        <f t="shared" si="23"/>
        <v>7563.3000000000029</v>
      </c>
    </row>
    <row r="496" spans="1:16">
      <c r="A496">
        <v>495</v>
      </c>
      <c r="B496" t="s">
        <v>13</v>
      </c>
      <c r="C496" t="s">
        <v>187</v>
      </c>
      <c r="D496" t="s">
        <v>21</v>
      </c>
      <c r="E496" t="s">
        <v>33</v>
      </c>
      <c r="F496" t="s">
        <v>17</v>
      </c>
      <c r="G496">
        <v>952</v>
      </c>
      <c r="H496">
        <v>3</v>
      </c>
      <c r="I496">
        <v>2856</v>
      </c>
      <c r="J496">
        <v>3.8</v>
      </c>
      <c r="K496" t="s">
        <v>28</v>
      </c>
      <c r="L496">
        <v>4</v>
      </c>
      <c r="M496" t="str">
        <f t="shared" si="21"/>
        <v>April</v>
      </c>
      <c r="N496">
        <v>2025</v>
      </c>
      <c r="O496">
        <f t="shared" si="22"/>
        <v>1999.1999999999998</v>
      </c>
      <c r="P496">
        <f t="shared" si="23"/>
        <v>856.80000000000018</v>
      </c>
    </row>
    <row r="497" spans="1:16">
      <c r="A497">
        <v>496</v>
      </c>
      <c r="B497" t="s">
        <v>55</v>
      </c>
      <c r="C497" t="s">
        <v>235</v>
      </c>
      <c r="D497" t="s">
        <v>15</v>
      </c>
      <c r="E497" t="s">
        <v>33</v>
      </c>
      <c r="F497" t="s">
        <v>22</v>
      </c>
      <c r="G497">
        <v>371</v>
      </c>
      <c r="H497">
        <v>10</v>
      </c>
      <c r="I497">
        <v>3710</v>
      </c>
      <c r="J497">
        <v>3.5</v>
      </c>
      <c r="K497" t="s">
        <v>23</v>
      </c>
      <c r="L497">
        <v>6</v>
      </c>
      <c r="M497" t="str">
        <f t="shared" si="21"/>
        <v>June</v>
      </c>
      <c r="N497">
        <v>2025</v>
      </c>
      <c r="O497">
        <f t="shared" si="22"/>
        <v>2597</v>
      </c>
      <c r="P497">
        <f t="shared" si="23"/>
        <v>1113</v>
      </c>
    </row>
    <row r="498" spans="1:16">
      <c r="A498">
        <v>497</v>
      </c>
      <c r="B498" t="s">
        <v>36</v>
      </c>
      <c r="C498" t="s">
        <v>188</v>
      </c>
      <c r="D498" t="s">
        <v>57</v>
      </c>
      <c r="E498" t="s">
        <v>33</v>
      </c>
      <c r="F498" t="s">
        <v>17</v>
      </c>
      <c r="G498">
        <v>414</v>
      </c>
      <c r="H498">
        <v>8</v>
      </c>
      <c r="I498">
        <v>3312</v>
      </c>
      <c r="J498">
        <v>5</v>
      </c>
      <c r="K498" t="s">
        <v>18</v>
      </c>
      <c r="L498">
        <v>7</v>
      </c>
      <c r="M498" t="str">
        <f t="shared" si="21"/>
        <v>July</v>
      </c>
      <c r="N498">
        <v>2025</v>
      </c>
      <c r="O498">
        <f t="shared" si="22"/>
        <v>2318.3999999999996</v>
      </c>
      <c r="P498">
        <f t="shared" si="23"/>
        <v>993.60000000000036</v>
      </c>
    </row>
    <row r="499" spans="1:16">
      <c r="A499">
        <v>498</v>
      </c>
      <c r="B499" t="s">
        <v>19</v>
      </c>
      <c r="C499" t="s">
        <v>88</v>
      </c>
      <c r="D499" t="s">
        <v>76</v>
      </c>
      <c r="E499" t="s">
        <v>43</v>
      </c>
      <c r="F499" t="s">
        <v>22</v>
      </c>
      <c r="G499">
        <v>314</v>
      </c>
      <c r="H499">
        <v>17</v>
      </c>
      <c r="I499">
        <v>5338</v>
      </c>
      <c r="J499">
        <v>4.5999999999999996</v>
      </c>
      <c r="K499" t="s">
        <v>47</v>
      </c>
      <c r="L499">
        <v>7</v>
      </c>
      <c r="M499" t="str">
        <f t="shared" si="21"/>
        <v>July</v>
      </c>
      <c r="N499">
        <v>2025</v>
      </c>
      <c r="O499">
        <f t="shared" si="22"/>
        <v>3736.6</v>
      </c>
      <c r="P499">
        <f t="shared" si="23"/>
        <v>1601.4</v>
      </c>
    </row>
    <row r="500" spans="1:16">
      <c r="A500">
        <v>499</v>
      </c>
      <c r="B500" t="s">
        <v>44</v>
      </c>
      <c r="C500" t="s">
        <v>167</v>
      </c>
      <c r="D500" t="s">
        <v>38</v>
      </c>
      <c r="E500" t="s">
        <v>33</v>
      </c>
      <c r="F500" t="s">
        <v>17</v>
      </c>
      <c r="G500">
        <v>342</v>
      </c>
      <c r="H500">
        <v>1</v>
      </c>
      <c r="I500">
        <v>342</v>
      </c>
      <c r="J500">
        <v>4.5</v>
      </c>
      <c r="K500" t="s">
        <v>47</v>
      </c>
      <c r="L500">
        <v>6</v>
      </c>
      <c r="M500" t="str">
        <f t="shared" si="21"/>
        <v>June</v>
      </c>
      <c r="N500">
        <v>2025</v>
      </c>
      <c r="O500">
        <f t="shared" si="22"/>
        <v>239.39999999999998</v>
      </c>
      <c r="P500">
        <f t="shared" si="23"/>
        <v>102.60000000000002</v>
      </c>
    </row>
    <row r="501" spans="1:16">
      <c r="A501">
        <v>500</v>
      </c>
      <c r="B501" t="s">
        <v>36</v>
      </c>
      <c r="C501" t="s">
        <v>151</v>
      </c>
      <c r="D501" t="s">
        <v>15</v>
      </c>
      <c r="E501" t="s">
        <v>50</v>
      </c>
      <c r="F501" t="s">
        <v>17</v>
      </c>
      <c r="G501">
        <v>1457</v>
      </c>
      <c r="H501">
        <v>4</v>
      </c>
      <c r="I501">
        <v>5828</v>
      </c>
      <c r="J501">
        <v>3.2</v>
      </c>
      <c r="K501" t="s">
        <v>18</v>
      </c>
      <c r="L501">
        <v>9</v>
      </c>
      <c r="M501" t="str">
        <f t="shared" si="21"/>
        <v>September</v>
      </c>
      <c r="N501">
        <v>2025</v>
      </c>
      <c r="O501">
        <f t="shared" si="22"/>
        <v>4079.6</v>
      </c>
      <c r="P501">
        <f t="shared" si="23"/>
        <v>1748.4</v>
      </c>
    </row>
  </sheetData>
  <autoFilter ref="A1:N501">
    <filterColumn colId="12"/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2"/>
  <sheetViews>
    <sheetView showGridLines="0" tabSelected="1" workbookViewId="0">
      <selection activeCell="B10" sqref="B10"/>
    </sheetView>
  </sheetViews>
  <sheetFormatPr defaultRowHeight="15"/>
  <cols>
    <col min="1" max="1" width="3.140625" style="6" customWidth="1"/>
    <col min="2" max="2" width="25" style="6" customWidth="1"/>
    <col min="3" max="3" width="3.140625" style="6" customWidth="1"/>
    <col min="4" max="4" width="21" style="6" customWidth="1"/>
    <col min="5" max="5" width="9.140625" style="6"/>
    <col min="6" max="6" width="24.28515625" style="6" customWidth="1"/>
    <col min="7" max="7" width="3.85546875" style="6" customWidth="1"/>
    <col min="8" max="8" width="18.85546875" style="6" customWidth="1"/>
    <col min="9" max="16384" width="9.140625" style="6"/>
  </cols>
  <sheetData>
    <row r="1" spans="1:18" ht="24" thickBot="1">
      <c r="A1" s="12" t="s">
        <v>257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3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22.5" customHeight="1">
      <c r="A4" s="7"/>
      <c r="B4" s="11" t="s">
        <v>256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4" customHeight="1">
      <c r="A5" s="7"/>
      <c r="B5" s="8">
        <v>1391892.3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6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23.25" customHeight="1">
      <c r="A8" s="7"/>
      <c r="B8" s="10" t="s">
        <v>242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26.25" customHeight="1">
      <c r="A9" s="7"/>
      <c r="B9" s="9">
        <v>4639641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</sheetData>
  <mergeCells count="1">
    <mergeCell ref="A1:R1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brand</vt:lpstr>
      <vt:lpstr>Monthyly sales trend</vt:lpstr>
      <vt:lpstr>Avg Rating By Brand</vt:lpstr>
      <vt:lpstr>Sales by country and Brand</vt:lpstr>
      <vt:lpstr>total sales</vt:lpstr>
      <vt:lpstr>Top 5 Brand</vt:lpstr>
      <vt:lpstr>synthetic_mobile_sales_2025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</dc:creator>
  <cp:lastModifiedBy>MAYNA</cp:lastModifiedBy>
  <dcterms:created xsi:type="dcterms:W3CDTF">2026-03-01T07:52:02Z</dcterms:created>
  <dcterms:modified xsi:type="dcterms:W3CDTF">2026-03-01T08:01:02Z</dcterms:modified>
</cp:coreProperties>
</file>